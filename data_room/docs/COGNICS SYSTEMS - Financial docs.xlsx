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umptions &amp; Funding" sheetId="1" r:id="rId5"/>
    <sheet state="visible" name="Cap Table &amp; Equity Plan" sheetId="2" r:id="rId6"/>
    <sheet state="visible" name="Hiring &amp; Compensation Plan" sheetId="3" r:id="rId7"/>
    <sheet state="visible" name="MVP &amp; lab hardware BOM" sheetId="4" r:id="rId8"/>
    <sheet state="visible" name="HQ &amp; lab est." sheetId="5" r:id="rId9"/>
    <sheet state="visible" name="Other expenses" sheetId="6" r:id="rId10"/>
    <sheet state="visible" name="Cash Flow &amp; Runway" sheetId="7" r:id="rId11"/>
  </sheets>
  <definedNames/>
  <calcPr/>
</workbook>
</file>

<file path=xl/sharedStrings.xml><?xml version="1.0" encoding="utf-8"?>
<sst xmlns="http://schemas.openxmlformats.org/spreadsheetml/2006/main" count="1514" uniqueCount="871">
  <si>
    <t>COGNITRONICS — ASSUMPTIONS &amp; FUNDING</t>
  </si>
  <si>
    <t>MONTHLY COMP SCHEDULE (Core-team)</t>
  </si>
  <si>
    <t>Validated model conventions, financing terms and linked operating-cost baseline · 18-month pre-seed plan</t>
  </si>
  <si>
    <t>BILL OF MATERIALS : MVP &amp; LAB</t>
  </si>
  <si>
    <t>MODEL FRAME</t>
  </si>
  <si>
    <t>Model horizon</t>
  </si>
  <si>
    <r>
      <rPr>
        <rFont val="Calibri"/>
        <b/>
        <i/>
        <color theme="1"/>
      </rPr>
      <t>Core-team comps</t>
    </r>
    <r>
      <rPr>
        <rFont val="Calibri"/>
        <i/>
        <color theme="1"/>
      </rPr>
      <t xml:space="preserve"> : Compensation follows three progressive stages: TEST, PRE-VALIDATION and VETTED. Timing and amounts remain subject to milestone achievement.</t>
    </r>
  </si>
  <si>
    <t>operating months :</t>
  </si>
  <si>
    <t>M1–M18</t>
  </si>
  <si>
    <t>M0 is the financing event</t>
  </si>
  <si>
    <t>Model currency</t>
  </si>
  <si>
    <t>EUR (€)</t>
  </si>
  <si>
    <t xml:space="preserve">   Reporting and cash-planning currency</t>
  </si>
  <si>
    <t>USD → EUR planning FX</t>
  </si>
  <si>
    <t>NAME</t>
  </si>
  <si>
    <t>$1 = €0.93</t>
  </si>
  <si>
    <t>Profile</t>
  </si>
  <si>
    <t>Start Month</t>
  </si>
  <si>
    <t>Round target (USD)</t>
  </si>
  <si>
    <t>Metric</t>
  </si>
  <si>
    <t>M1</t>
  </si>
  <si>
    <t>M2</t>
  </si>
  <si>
    <t>M3</t>
  </si>
  <si>
    <t>M4</t>
  </si>
  <si>
    <t>M5</t>
  </si>
  <si>
    <t>M6</t>
  </si>
  <si>
    <t>CATEGORY</t>
  </si>
  <si>
    <t>M7</t>
  </si>
  <si>
    <t>M8</t>
  </si>
  <si>
    <t>M9</t>
  </si>
  <si>
    <t>M10</t>
  </si>
  <si>
    <t>ITEM</t>
  </si>
  <si>
    <t>M11</t>
  </si>
  <si>
    <t>M12</t>
  </si>
  <si>
    <t>Qty</t>
  </si>
  <si>
    <t>M13</t>
  </si>
  <si>
    <t>M14</t>
  </si>
  <si>
    <t>M15</t>
  </si>
  <si>
    <t>M16</t>
  </si>
  <si>
    <t>M17</t>
  </si>
  <si>
    <t>M18</t>
  </si>
  <si>
    <t>TOTAL 12M</t>
  </si>
  <si>
    <t>TOTAL 18M</t>
  </si>
  <si>
    <t>AVANTAGE JEI</t>
  </si>
  <si>
    <t>THMS</t>
  </si>
  <si>
    <t>Funding envelope (EUR)</t>
  </si>
  <si>
    <t>Founder</t>
  </si>
  <si>
    <t>COST TYPE</t>
  </si>
  <si>
    <t>Unit Cost</t>
  </si>
  <si>
    <t>Grade</t>
  </si>
  <si>
    <t>Net mensuel</t>
  </si>
  <si>
    <t>Pricing Source</t>
  </si>
  <si>
    <t>Purchase Month</t>
  </si>
  <si>
    <t>Technical Milestone</t>
  </si>
  <si>
    <t>Technical Purpose</t>
  </si>
  <si>
    <t>Capture Hardware</t>
  </si>
  <si>
    <t>Opening cash before first close</t>
  </si>
  <si>
    <t xml:space="preserve">   M0 before initial SAFE inflow</t>
  </si>
  <si>
    <t>Funding timing</t>
  </si>
  <si>
    <t>Scenario-driven</t>
  </si>
  <si>
    <t xml:space="preserve">   Closing months will be editable in Runway &amp; Scenarios</t>
  </si>
  <si>
    <t>SAFE ROUND TERMS</t>
  </si>
  <si>
    <t>Tier</t>
  </si>
  <si>
    <t>Order</t>
  </si>
  <si>
    <t>Allocation (USD)</t>
  </si>
  <si>
    <t>Allocation (EUR)</t>
  </si>
  <si>
    <t>Valuation Cap (USD)</t>
  </si>
  <si>
    <t>Instrument</t>
  </si>
  <si>
    <t>Terms</t>
  </si>
  <si>
    <t>Xsens MVN Awinda full system</t>
  </si>
  <si>
    <t>Status</t>
  </si>
  <si>
    <t>Tier 1</t>
  </si>
  <si>
    <t>an 1 -&gt; an 2</t>
  </si>
  <si>
    <t>YC post-money SAFE</t>
  </si>
  <si>
    <t>Cap only · no discount · no MFN · no automatic pro-rata</t>
  </si>
  <si>
    <t>Validated</t>
  </si>
  <si>
    <t>Tier 2</t>
  </si>
  <si>
    <t>Brut mensuel</t>
  </si>
  <si>
    <t>Tier 3</t>
  </si>
  <si>
    <t>TOTAL ROUND</t>
  </si>
  <si>
    <t>CapEx</t>
  </si>
  <si>
    <t>COGNICS SYSTEMS, INC. — CAP TABLE &amp; EQUITY PLAN</t>
  </si>
  <si>
    <t>Standard SAFE at valuation cap</t>
  </si>
  <si>
    <t>LOCKED</t>
  </si>
  <si>
    <t>Legal ownership, equity reserves, planned core-team grants and proposed SAFE dilution · investor diligence view</t>
  </si>
  <si>
    <t>OPERATING &amp; TAX CONVENTIONS</t>
  </si>
  <si>
    <t>Assumption</t>
  </si>
  <si>
    <t>Legal ownership, reserved equity, planned grants, and pro forma financing outcomes are shown separately. Core-team allocations and SAFE outcomes are illustrative planning assumptions only; they are not current legal ownership, executed grants, or issued securities. All future grants remain subject to board approval, definitive documentation, applicable tax and legal review, and the terms of any future financing.</t>
  </si>
  <si>
    <t>Chargé normal</t>
  </si>
  <si>
    <t>Value</t>
  </si>
  <si>
    <t>Timing</t>
  </si>
  <si>
    <t>Classification</t>
  </si>
  <si>
    <t>Source / Note</t>
  </si>
  <si>
    <t>A</t>
  </si>
  <si>
    <t>Operating plan length</t>
  </si>
  <si>
    <t>1. LEGAL OWNERSHIP TODAY — DELAWARE PARENT</t>
  </si>
  <si>
    <t>Chargé JEI</t>
  </si>
  <si>
    <t>Cash plan</t>
  </si>
  <si>
    <t>M0 is separate and represents the financing event.</t>
  </si>
  <si>
    <t>Vendor / market pricing</t>
  </si>
  <si>
    <t>VAT recovery</t>
  </si>
  <si>
    <t>Month 1</t>
  </si>
  <si>
    <t>Conservative annual refund</t>
  </si>
  <si>
    <t>M13 for M1–M12</t>
  </si>
  <si>
    <t>Capture stack deployment</t>
  </si>
  <si>
    <t>Working capital</t>
  </si>
  <si>
    <t>Apply only to invoice-level deductible VAT; M13–M18 recoverable VAT remains outstanding at plan end.</t>
  </si>
  <si>
    <t>Full-body IMMU suit for operator kinematics, posture and balance capture</t>
  </si>
  <si>
    <t>CIR, grants and subsidies</t>
  </si>
  <si>
    <t>Excluded</t>
  </si>
  <si>
    <t>Base case</t>
  </si>
  <si>
    <t>No cash inflow</t>
  </si>
  <si>
    <t>Unit / Ownership</t>
  </si>
  <si>
    <t>Potential upside is not used to finance the base plan.</t>
  </si>
  <si>
    <t>HQ furniture, fit-out and appliances</t>
  </si>
  <si>
    <t>Legal status</t>
  </si>
  <si>
    <t>Delsys Trigno Avanti Starter Kit</t>
  </si>
  <si>
    <t>Details</t>
  </si>
  <si>
    <t>Validated provision in HQ &amp; lab est.</t>
  </si>
  <si>
    <t>Source / Control</t>
  </si>
  <si>
    <t>Corporate liability, cyber and D&amp;O insurance</t>
  </si>
  <si>
    <t>Total mensuel</t>
  </si>
  <si>
    <t>Authorized common shares</t>
  </si>
  <si>
    <t>€2K M1 + €2K M13</t>
  </si>
  <si>
    <t>OpEx</t>
  </si>
  <si>
    <t>Validated 18-month cash provision in Other expenses.</t>
  </si>
  <si>
    <t>Contingency policy</t>
  </si>
  <si>
    <t>Category-specific only</t>
  </si>
  <si>
    <t>Throughout</t>
  </si>
  <si>
    <t>Reserve</t>
  </si>
  <si>
    <t>Keep existing schedule-level contingencies; do not apply a second blanket contingency.</t>
  </si>
  <si>
    <t>shares</t>
  </si>
  <si>
    <t>Unallocated strategic reserve</t>
  </si>
  <si>
    <t>Authorized</t>
  </si>
  <si>
    <t>Funding less modeled expenditure</t>
  </si>
  <si>
    <t>Cognics Systems, Inc. authorized common stock.</t>
  </si>
  <si>
    <t>Liquidity</t>
  </si>
  <si>
    <t>Displayed separately and not treated as an operating expense.</t>
  </si>
  <si>
    <t>Corporate records</t>
  </si>
  <si>
    <t>Issued common shares</t>
  </si>
  <si>
    <t>LINKED 18-MONTH COST BASE</t>
  </si>
  <si>
    <t>Issued</t>
  </si>
  <si>
    <t>Schedule</t>
  </si>
  <si>
    <t>Total 12M</t>
  </si>
  <si>
    <t>Total 18M</t>
  </si>
  <si>
    <t>All issued shares are restricted common stock.</t>
  </si>
  <si>
    <t>% of 18M spend</t>
  </si>
  <si>
    <t>Cost basis</t>
  </si>
  <si>
    <t>Source cell</t>
  </si>
  <si>
    <t>Executed Founder Restricted Stock Purchase Agreement</t>
  </si>
  <si>
    <t>Notes</t>
  </si>
  <si>
    <t>Biomechanics sensing setup</t>
  </si>
  <si>
    <t>Wireless sEMG for muscle activation and torque proxy estimation</t>
  </si>
  <si>
    <t>Hiring &amp; Compensation Plan</t>
  </si>
  <si>
    <t>Legal holder</t>
  </si>
  <si>
    <t>THMS / Thomas Manrique</t>
  </si>
  <si>
    <t>BNC sync cable</t>
  </si>
  <si>
    <t>Current legal ownership</t>
  </si>
  <si>
    <t>100% of issued shares; no other current legal stockholders.</t>
  </si>
  <si>
    <t>Issued-share ledger</t>
  </si>
  <si>
    <t>JSPH</t>
  </si>
  <si>
    <t>Legal issued ownership</t>
  </si>
  <si>
    <t>AI/Robotics eng</t>
  </si>
  <si>
    <t>of issued shares</t>
  </si>
  <si>
    <t>Current / legal</t>
  </si>
  <si>
    <t>Calculated against 9,000,000 issued common shares.</t>
  </si>
  <si>
    <t>9,000,000 ÷ 9,000,000</t>
  </si>
  <si>
    <t>Founder restricted common stock</t>
  </si>
  <si>
    <t>Issued / restricted</t>
  </si>
  <si>
    <t>Subject to company repurchase rights over unvested shares.</t>
  </si>
  <si>
    <t>Executed founder RSA</t>
  </si>
  <si>
    <t>Founder vesting commencement</t>
  </si>
  <si>
    <t>Commodity accessory pricing</t>
  </si>
  <si>
    <t>Sensor synchronization</t>
  </si>
  <si>
    <t>Hardware trigger alignment between Xsens and Delsys</t>
  </si>
  <si>
    <t>MANUS Quantum Metagloves</t>
  </si>
  <si>
    <t>Employer cost</t>
  </si>
  <si>
    <t>Hiring &amp; Compensation Plan!W27:X27</t>
  </si>
  <si>
    <t>LINKED</t>
  </si>
  <si>
    <t>Includes fractional CTO</t>
  </si>
  <si>
    <t>MVP &amp; lab hardware BOM</t>
  </si>
  <si>
    <t>date</t>
  </si>
  <si>
    <t>Binding / executed</t>
  </si>
  <si>
    <t>Four-year vesting with a 12-month cliff.</t>
  </si>
  <si>
    <t>Founder vesting terms</t>
  </si>
  <si>
    <t>48 months</t>
  </si>
  <si>
    <t>12-month cliff</t>
  </si>
  <si>
    <t>12/48 vest on Feb 1, 2027; 1/48 monthly thereafter.</t>
  </si>
  <si>
    <t>B</t>
  </si>
  <si>
    <t>Current reseller / market pricing</t>
  </si>
  <si>
    <t>Current fully diluted planning view</t>
  </si>
  <si>
    <t>Hand tracking setup</t>
  </si>
  <si>
    <t>Hand kinematics for manipulation, teleoperation and finger pose capture</t>
  </si>
  <si>
    <t>illustrative units</t>
  </si>
  <si>
    <t>CapEx + technical OpEx</t>
  </si>
  <si>
    <t>OSMO tactile glove custom build</t>
  </si>
  <si>
    <t>MVP &amp; lab hardware BOM!V70:W70</t>
  </si>
  <si>
    <t>HT basis; VAT handled separately</t>
  </si>
  <si>
    <t>Pro forma only</t>
  </si>
  <si>
    <t>HQ &amp; lab est.</t>
  </si>
  <si>
    <t>THMS 90% / ESOP reserve 10%; no team grants or SAFE shares are issued.</t>
  </si>
  <si>
    <t>Planning denominator ≠ legal issued shares</t>
  </si>
  <si>
    <t>French operating subsidiary</t>
  </si>
  <si>
    <t>Future French SASU</t>
  </si>
  <si>
    <t>Occupancy + hosting</t>
  </si>
  <si>
    <t>HQ &amp; lab est.!V31:W31</t>
  </si>
  <si>
    <t>Includes recoverable security deposit</t>
  </si>
  <si>
    <t>Other expenses</t>
  </si>
  <si>
    <t>C</t>
  </si>
  <si>
    <t>Engineering build estimate (materials ~1.090€ + labour 2.500€)</t>
  </si>
  <si>
    <t>Tactile sensing prototype</t>
  </si>
  <si>
    <t>Full palmar and finger contact, normal + shear force mapping</t>
  </si>
  <si>
    <t>Intel RealSense D435i</t>
  </si>
  <si>
    <t>Wholly owned by parent</t>
  </si>
  <si>
    <t>Strategic operations</t>
  </si>
  <si>
    <t>No founder, core-team or SAFE ownership is modeled at SASU level.</t>
  </si>
  <si>
    <t>Other expenses!V35:W35</t>
  </si>
  <si>
    <t>Cognics Systems, Inc. remains financing vehicle and owner of core IP.</t>
  </si>
  <si>
    <t>Current street price (roboticscenter.ai depth camera survey) - Intel wound down RealSense unit, supply continuity risk</t>
  </si>
  <si>
    <t>Includes annual corporate insurance</t>
  </si>
  <si>
    <t>RGB-D scene capture</t>
  </si>
  <si>
    <t>Close-range RGB-D capture of manipulation scenes</t>
  </si>
  <si>
    <t>RoboSense RS-Helios-16P LiDAR</t>
  </si>
  <si>
    <t>TOTAL MODELED EXPENDITURE</t>
  </si>
  <si>
    <t>2. RESERVED AND UNISSUED INSTRUMENTS</t>
  </si>
  <si>
    <t>Reserved amount</t>
  </si>
  <si>
    <t>% of planning denominator</t>
  </si>
  <si>
    <t>Issued today?</t>
  </si>
  <si>
    <t>ESOP reserve</t>
  </si>
  <si>
    <t>RECONCILED</t>
  </si>
  <si>
    <t>FUNDING ENVELOPE</t>
  </si>
  <si>
    <t>Reseller estimate - confirm with EU quote before data room</t>
  </si>
  <si>
    <t>Month 4</t>
  </si>
  <si>
    <t>Room-scale spatial mapping</t>
  </si>
  <si>
    <t>Room-scale 3D spatial mapping and larger workcell geometry</t>
  </si>
  <si>
    <t>Logitech Brio 4K</t>
  </si>
  <si>
    <t>UNALLOCATED STRATEGIC RESERVE</t>
  </si>
  <si>
    <t>No</t>
  </si>
  <si>
    <t>Reserved / unissued</t>
  </si>
  <si>
    <t>Separate 10% reserve for broader employees, advisors and future grants; not part of the core-team target pool.</t>
  </si>
  <si>
    <t>Logitech FR store list price 169,99EUR</t>
  </si>
  <si>
    <t>Visual annotation setup</t>
  </si>
  <si>
    <t>Frontal RGB stream for annotation and VLM input</t>
  </si>
  <si>
    <t>Rode NT-USB Mini</t>
  </si>
  <si>
    <t>SAFE conversion reserve</t>
  </si>
  <si>
    <t>TBD at conversion</t>
  </si>
  <si>
    <t>DALI</t>
  </si>
  <si>
    <t>AVERAGE MONTHLY MODELED BURN</t>
  </si>
  <si>
    <t>Maths applied eng</t>
  </si>
  <si>
    <t>Public retail pricing</t>
  </si>
  <si>
    <t>Voice annotation setup</t>
  </si>
  <si>
    <t>Voice-to-text annotation during capture sessions</t>
  </si>
  <si>
    <t>CVAT subscription (annual)</t>
  </si>
  <si>
    <t>Board-authorized reserve</t>
  </si>
  <si>
    <t>MODEL CONTROLS</t>
  </si>
  <si>
    <t>No SAFE shares currently issued. Conversion mechanics and resulting legal share count remain TBD; modeled only in the pro forma scenario.</t>
  </si>
  <si>
    <t>Check</t>
  </si>
  <si>
    <t>Expected</t>
  </si>
  <si>
    <t>Actual</t>
  </si>
  <si>
    <t>Difference</t>
  </si>
  <si>
    <t>Reserved ≠ issued. The ESOP reserve and future SAFE conversion reserve do not constitute current legal ownership.</t>
  </si>
  <si>
    <t>SAFE allocations equal round target</t>
  </si>
  <si>
    <t>Subscription pricing</t>
  </si>
  <si>
    <t>Annotation workflow launch</t>
  </si>
  <si>
    <t>Manual and assisted annotation interface</t>
  </si>
  <si>
    <t>Network switch, cabling, UPS, accessories</t>
  </si>
  <si>
    <t>3. PLANNED CORE-TEAM ALLOCATION</t>
  </si>
  <si>
    <t>Holder / Pool</t>
  </si>
  <si>
    <t>Role</t>
  </si>
  <si>
    <t>Illustrative planning units</t>
  </si>
  <si>
    <t>Tier allocations must total $750K.</t>
  </si>
  <si>
    <t>Pre-SAFE normalized ownership</t>
  </si>
  <si>
    <t>System-integrator estimate</t>
  </si>
  <si>
    <t>Post-SAFE target %</t>
  </si>
  <si>
    <t>Lab infrastructure setup</t>
  </si>
  <si>
    <t>EUR funding conversion</t>
  </si>
  <si>
    <t>Lab networking, power conditioning and cable management</t>
  </si>
  <si>
    <t>Mechanism / Notes</t>
  </si>
  <si>
    <t>Spare sensors, spare cables, calibration consumables</t>
  </si>
  <si>
    <t>$750K × 0.93.</t>
  </si>
  <si>
    <t>SAFE tier count</t>
  </si>
  <si>
    <t>Engineering contingency</t>
  </si>
  <si>
    <t>Capture continuity readiness</t>
  </si>
  <si>
    <t>Reduce downtime and avoid blocked capture sessions</t>
  </si>
  <si>
    <t>Multi-sensor calibration rig / jig</t>
  </si>
  <si>
    <t>Three sequential pricing tiers.</t>
  </si>
  <si>
    <t>Planned expenditure within funding</t>
  </si>
  <si>
    <t>Positive value is the unallocated reserve.</t>
  </si>
  <si>
    <t>OVERALL MODEL STATUS</t>
  </si>
  <si>
    <t>Retained target; planning-only</t>
  </si>
  <si>
    <t>Founder retained target following planned reallocation; current legal ownership remains 100% of issued shares.</t>
  </si>
  <si>
    <t>Engineering estimate</t>
  </si>
  <si>
    <t>Multi-sensor calibration</t>
  </si>
  <si>
    <t>Cross-sensor spatial and temporal alignment across Xsens, Delsys, MANUS, OSMO and RGB-D</t>
  </si>
  <si>
    <t>All current funding and linked-cost controls must pass.</t>
  </si>
  <si>
    <t>AI / Robotics</t>
  </si>
  <si>
    <t>LEGEND &amp; GOVERNANCE</t>
  </si>
  <si>
    <t>Blue text =</t>
  </si>
  <si>
    <t>Capture Hardware — SUBTOTAL</t>
  </si>
  <si>
    <t>Validated hardcode / editable assumption</t>
  </si>
  <si>
    <t>Green text =</t>
  </si>
  <si>
    <t>Linked from source tab</t>
  </si>
  <si>
    <t>Black text =</t>
  </si>
  <si>
    <t>Formula</t>
  </si>
  <si>
    <t>Yellow fill =</t>
  </si>
  <si>
    <t>Illustrative / ungranted</t>
  </si>
  <si>
    <t>Requires review</t>
  </si>
  <si>
    <t>Planned founder reallocation / future restricted-stock grant; subject to board approval and individual RSA execution.</t>
  </si>
  <si>
    <t>Version :</t>
  </si>
  <si>
    <t>Investor integration v1</t>
  </si>
  <si>
    <t>Validated :</t>
  </si>
  <si>
    <t>2026-08-14</t>
  </si>
  <si>
    <t>Owner :</t>
  </si>
  <si>
    <t>Cognitronics</t>
  </si>
  <si>
    <t>Stage :</t>
  </si>
  <si>
    <t>Step 1 complete</t>
  </si>
  <si>
    <t>NADR</t>
  </si>
  <si>
    <t>Maths Applied</t>
  </si>
  <si>
    <t>Embedded Sys eng</t>
  </si>
  <si>
    <t>Embedded Systems</t>
  </si>
  <si>
    <t>HQ &amp; LAB OPERATING COST PLAN</t>
  </si>
  <si>
    <r>
      <rPr>
        <rFont val="Calibri"/>
        <color rgb="FFFFFFFF"/>
        <sz val="11.0"/>
      </rPr>
      <t xml:space="preserve">NEXT </t>
    </r>
    <r>
      <rPr>
        <rFont val="Calibri"/>
        <i/>
        <color rgb="FFF3F3F3"/>
        <sz val="11.0"/>
      </rPr>
      <t>(future key Hire)</t>
    </r>
  </si>
  <si>
    <t>18-month headquarters, lab occupancy and core-team hosting estimate. Monthly cash-planning view; assumptions and provisional items are identified in the notes.</t>
  </si>
  <si>
    <t>Shared Dataset Storage</t>
  </si>
  <si>
    <t>Separate key-hire target; not part of the ESOP reserve. Future RSA or option terms remain unexecuted.</t>
  </si>
  <si>
    <t>ESOP</t>
  </si>
  <si>
    <t>Broader employees / advisors</t>
  </si>
  <si>
    <t>BASIS</t>
  </si>
  <si>
    <t>NOTES</t>
  </si>
  <si>
    <t>OCCUPANCY &amp; LEASE</t>
  </si>
  <si>
    <t>Synology NAS or equivalent</t>
  </si>
  <si>
    <t>Separate company reserve; not a current grant or legal ownership.</t>
  </si>
  <si>
    <t>CORE-TEAM AGGREGATE</t>
  </si>
  <si>
    <t>JSPH + DALI + NADR + future key hire</t>
  </si>
  <si>
    <t>Market pricing</t>
  </si>
  <si>
    <t>Occupancy &amp; Lease</t>
  </si>
  <si>
    <t>Dataset storage deployment</t>
  </si>
  <si>
    <t>Rent</t>
  </si>
  <si>
    <t>Shared proprietary dataset storage and collaboration</t>
  </si>
  <si>
    <t>RAID drives / redundancy</t>
  </si>
  <si>
    <t>40% aggregate post-SAFE target.</t>
  </si>
  <si>
    <t>MAXM</t>
  </si>
  <si>
    <t>Redundancy &amp; backup</t>
  </si>
  <si>
    <t>Redundant storage for captured datasets and backups</t>
  </si>
  <si>
    <t>NAS setup / accessories</t>
  </si>
  <si>
    <t>Fractional CTO (900/j)</t>
  </si>
  <si>
    <t>Total (2,5j / m)</t>
  </si>
  <si>
    <t>€5,000 / month</t>
  </si>
  <si>
    <t>TOTAL PRE-SAFE PLANNED HOLDERS</t>
  </si>
  <si>
    <t>User-provided estimate; recurring from M1 to M18.</t>
  </si>
  <si>
    <t>Premises / tenant liability insurance</t>
  </si>
  <si>
    <t>Founder + core team + ESOP</t>
  </si>
  <si>
    <t>Storage commissioning</t>
  </si>
  <si>
    <t>Cabling, trays and deployment accessories</t>
  </si>
  <si>
    <t>Shared Dataset Storage — SUBTOTAL</t>
  </si>
  <si>
    <t>€50 / month</t>
  </si>
  <si>
    <t>User-provided estimate; separate from equipment insurance in the BOM.</t>
  </si>
  <si>
    <t>Security deposit (recoverable)</t>
  </si>
  <si>
    <t>Planning reconciliation</t>
  </si>
  <si>
    <t>Working Capital</t>
  </si>
  <si>
    <t>2 months of rent; paid M1</t>
  </si>
  <si>
    <t>Provisional assumption: €10,000. Cash requirement, not an operating expense.</t>
  </si>
  <si>
    <t>Pre-SAFE normalized ownership is 100%; stated post-SAFE targets occupy 90%, before the 10% SAFE scenario.</t>
  </si>
  <si>
    <t>Lease, agency, legal and move-in fees</t>
  </si>
  <si>
    <t>The 10,000,000-unit denominator is an illustrative fully diluted planning convention, not a representation that planned core-team grants or SAFE securities have been legally issued.</t>
  </si>
  <si>
    <t>One-off provision; M1</t>
  </si>
  <si>
    <t>Provisional €5,000 pending property and lease terms.</t>
  </si>
  <si>
    <t>4. PROPOSED SAFE DILUTION</t>
  </si>
  <si>
    <t>Occupancy &amp; Lease — SUBTOTAL</t>
  </si>
  <si>
    <t>Investment amount (USD)</t>
  </si>
  <si>
    <t>Post-money cap (USD)</t>
  </si>
  <si>
    <t>Implied FD ownership</t>
  </si>
  <si>
    <t>Terms / Source</t>
  </si>
  <si>
    <t>Development Compute</t>
  </si>
  <si>
    <t>GPU: RTX 5090 class</t>
  </si>
  <si>
    <t>Hiring/Comp Budget =</t>
  </si>
  <si>
    <t>FACILITIES &amp; UTILITIES</t>
  </si>
  <si>
    <t>Proposed / unclosed</t>
  </si>
  <si>
    <t>YC post-money SAFE · cap only · no discount · no MFN · no automatic pro-rata</t>
  </si>
  <si>
    <t>French retail 3.700-5.500EUR (MSRP 2.349EUR not achievable)</t>
  </si>
  <si>
    <t>Local AI workstation deployment</t>
  </si>
  <si>
    <t>Local VLM inference, moderate experimentation, fast iteration</t>
  </si>
  <si>
    <t>Facilities &amp; Utilities</t>
  </si>
  <si>
    <t>Electricity, heating and water</t>
  </si>
  <si>
    <t>CPU: Ryzen 9 9950X / i9 class</t>
  </si>
  <si>
    <t>€100 / month</t>
  </si>
  <si>
    <t>User-provided utility estimate; validate against property size and lab energy load.</t>
  </si>
  <si>
    <t>Business internet / telecom</t>
  </si>
  <si>
    <t>Market estimate</t>
  </si>
  <si>
    <t>TOTAL PROPOSED SAFE</t>
  </si>
  <si>
    <t>Dataset preprocessing, annotation orchestration, robotics development</t>
  </si>
  <si>
    <t>Motherboard: X870E / Z890 class</t>
  </si>
  <si>
    <t>Provisional estimate added separately from utilities.</t>
  </si>
  <si>
    <t>Cleaning and household supplies</t>
  </si>
  <si>
    <t>PCIe lanes, storage expansion, workstation reliability</t>
  </si>
  <si>
    <t>RAM: 192 GB DDR5</t>
  </si>
  <si>
    <t>Y1 Remainder</t>
  </si>
  <si>
    <t>M18 Remainder</t>
  </si>
  <si>
    <t>VESTING SCHEDULE (Core-team)</t>
  </si>
  <si>
    <t>€250 / month</t>
  </si>
  <si>
    <t>Provisional estimate for shared living and work areas.</t>
  </si>
  <si>
    <t>Minor maintenance and repairs</t>
  </si>
  <si>
    <t>2026 DDR5 shortage: 32GB kits 385-460EUR</t>
  </si>
  <si>
    <t>Large preprocessing jobs, local experiments, multi-process pipelines</t>
  </si>
  <si>
    <t>NVMe SSD: 2 TB OS / workspace</t>
  </si>
  <si>
    <t>Board-approved up to $750K</t>
  </si>
  <si>
    <t>No SAFEs issued, signed, closed, funded or converted as of the current model date.</t>
  </si>
  <si>
    <r>
      <rPr>
        <rFont val="Calibri"/>
        <b/>
        <i/>
        <color theme="1"/>
      </rPr>
      <t>Core-team vesting</t>
    </r>
    <r>
      <rPr>
        <rFont val="Calibri"/>
        <i/>
        <color theme="1"/>
      </rPr>
      <t xml:space="preserve"> : 7-year progressive vesting starting from each person’s start date, with early cliff/low initial allocation and heavier vesting in years 4–7.</t>
    </r>
    <r>
      <rPr>
        <rFont val="Calibri"/>
        <b/>
        <i/>
        <color theme="1"/>
      </rPr>
      <t xml:space="preserve"> Illustrative only</t>
    </r>
    <r>
      <rPr>
        <rFont val="Calibri"/>
        <i/>
        <color theme="1"/>
      </rPr>
      <t xml:space="preserve"> : subject to final board approval, individual role, and counsel review at grant time.</t>
    </r>
  </si>
  <si>
    <t>€150 / month</t>
  </si>
  <si>
    <t>SAFE conversion is assumed only in the pro forma post-SAFE scenario. Illustrative ownership is calculated as investment ÷ post-money valuation cap.</t>
  </si>
  <si>
    <t>Provisional recurring maintenance reserve.</t>
  </si>
  <si>
    <t>Furniture, fit-out and appliances</t>
  </si>
  <si>
    <t>Commodity pricing</t>
  </si>
  <si>
    <t>System drive and application workspace</t>
  </si>
  <si>
    <t>NVMe SSD: 4 TB scratch / dataset staging</t>
  </si>
  <si>
    <t>5. PRO FORMA POST-SAFE OWNERSHIP</t>
  </si>
  <si>
    <t>€5,000 one-off; M1</t>
  </si>
  <si>
    <t>Owner group</t>
  </si>
  <si>
    <t>Validated provision: €5,000 for furniture, fit-out and appliances; paid in M1.</t>
  </si>
  <si>
    <t>Y1 (vested)</t>
  </si>
  <si>
    <t>Facilities &amp; Utilities — SUBTOTAL</t>
  </si>
  <si>
    <t>Post-SAFE ownership</t>
  </si>
  <si>
    <t>Fast local scratch, cached models, staged datasets</t>
  </si>
  <si>
    <t>HDD / SSD backup pool</t>
  </si>
  <si>
    <t>Left to vest</t>
  </si>
  <si>
    <t>Founder THMS</t>
  </si>
  <si>
    <t>Y2 (vested)</t>
  </si>
  <si>
    <t>Y3 (vested)</t>
  </si>
  <si>
    <t>Secondary local backup and snapshot retention</t>
  </si>
  <si>
    <t>Y4 (vested)</t>
  </si>
  <si>
    <t>PSU: 1200W Platinum</t>
  </si>
  <si>
    <t>Y5 (vested)</t>
  </si>
  <si>
    <t>Y6 (vested)</t>
  </si>
  <si>
    <t>Y7 (vested)</t>
  </si>
  <si>
    <t>Stable power delivery for high-end GPU workloads</t>
  </si>
  <si>
    <t>Cooling: high-end air or 360 mm AIO</t>
  </si>
  <si>
    <t>Illustrative post-SAFE</t>
  </si>
  <si>
    <t>Founder Equity</t>
  </si>
  <si>
    <t>Founder target; not current legal issued ownership.</t>
  </si>
  <si>
    <t>Thermal headroom for sustained inference and preprocessing</t>
  </si>
  <si>
    <t>% vested per year</t>
  </si>
  <si>
    <t>Case / assembly / cabling</t>
  </si>
  <si>
    <t>CORE-TEAM HOSTING</t>
  </si>
  <si>
    <t>Core team aggregate                                          JSPH + DALI + NADR + KeyHire</t>
  </si>
  <si>
    <t>Build integration and serviceability</t>
  </si>
  <si>
    <t>UPS for workstation, 1500 VA line-interactive</t>
  </si>
  <si>
    <t>JSPH 15% + DALI 5% + NADR 10% + future key hire 10%.</t>
  </si>
  <si>
    <t>Re-specified for 575W GPU + 170W CPU sustained load</t>
  </si>
  <si>
    <t>Prevent data loss and corruption during power events</t>
  </si>
  <si>
    <t>Dual 27-inch monitors</t>
  </si>
  <si>
    <t>Separate 10% reserve.</t>
  </si>
  <si>
    <t>Annotation, debugging and simultaneous pipeline monitoring</t>
  </si>
  <si>
    <t>Keyboard, mouse, webcam, headset, peripherals</t>
  </si>
  <si>
    <t>Core-team Hosting</t>
  </si>
  <si>
    <t>SAFE investors</t>
  </si>
  <si>
    <t>Food and shared meals</t>
  </si>
  <si>
    <r>
      <rPr>
        <rFont val="Calibri"/>
        <color theme="1"/>
        <sz val="11.0"/>
      </rPr>
      <t xml:space="preserve">40% </t>
    </r>
    <r>
      <rPr>
        <rFont val="Calibri"/>
        <i/>
        <color rgb="FF434343"/>
        <sz val="10.0"/>
      </rPr>
      <t>(4,000,000 shares)</t>
    </r>
  </si>
  <si>
    <t>Illustrative conversion units only; no SAFE shares currently issued.</t>
  </si>
  <si>
    <t>total shares</t>
  </si>
  <si>
    <t>TOTAL</t>
  </si>
  <si>
    <t>Daily development and annotation ergonomics</t>
  </si>
  <si>
    <t>Development Compute — SUBTOTAL</t>
  </si>
  <si>
    <t>Reconciled</t>
  </si>
  <si>
    <t>Illustrative fully diluted planning denominator.</t>
  </si>
  <si>
    <t>This table is the sole source for the ownership chart below and must not be interpreted as the current legal cap table.</t>
  </si>
  <si>
    <t>AI/Robotics Equity</t>
  </si>
  <si>
    <t>6. VESTING SCHEDULES</t>
  </si>
  <si>
    <t>FOUNDER — BINDING, EXECUTED FOUR-YEAR SCHEDULE</t>
  </si>
  <si>
    <t>CLIFF</t>
  </si>
  <si>
    <t>Restricted common shares</t>
  </si>
  <si>
    <t>Vesting commencement</t>
  </si>
  <si>
    <t>Embedded AI Compute</t>
  </si>
  <si>
    <r>
      <rPr>
        <rFont val="Calibri"/>
        <color theme="1"/>
        <sz val="11.0"/>
      </rPr>
      <t>15%</t>
    </r>
    <r>
      <rPr>
        <rFont val="Calibri"/>
        <i/>
        <color theme="1"/>
        <sz val="10.0"/>
      </rPr>
      <t xml:space="preserve"> </t>
    </r>
    <r>
      <rPr>
        <rFont val="Calibri"/>
        <i/>
        <color rgb="FF434343"/>
        <sz val="10.0"/>
      </rPr>
      <t>(1,500,000 shares)</t>
    </r>
  </si>
  <si>
    <t>Founder RSA commencement date.</t>
  </si>
  <si>
    <t>Total vesting period</t>
  </si>
  <si>
    <t>months</t>
  </si>
  <si>
    <t>Four years.</t>
  </si>
  <si>
    <t>Cliff period</t>
  </si>
  <si>
    <t>No scheduled vesting before the cliff date.</t>
  </si>
  <si>
    <t>Jetson AGX Orin Developer Kit</t>
  </si>
  <si>
    <t>Cliff vesting</t>
  </si>
  <si>
    <t>12/48</t>
  </si>
  <si>
    <t>Vests on February 1, 2027.</t>
  </si>
  <si>
    <t>Monthly vesting thereafter</t>
  </si>
  <si>
    <t>Maths applied Equity</t>
  </si>
  <si>
    <t>per month</t>
  </si>
  <si>
    <t>Vests monthly after the cliff until fully vested.</t>
  </si>
  <si>
    <t>Unvested share treatment</t>
  </si>
  <si>
    <t>Company repurchase right</t>
  </si>
  <si>
    <t>Applies to unvested founder restricted common shares.</t>
  </si>
  <si>
    <t>CORE TEAM — ILLUSTRATIVE SEVEN-YEAR PROGRESSIVE / BACK-LOADED SCHEDULE</t>
  </si>
  <si>
    <t>Vesting year</t>
  </si>
  <si>
    <t>Incremental vesting</t>
  </si>
  <si>
    <t>Cumulative vesting</t>
  </si>
  <si>
    <t>Vendor / public pricing</t>
  </si>
  <si>
    <t>Timing / Notes</t>
  </si>
  <si>
    <t>Year 1 / cliff</t>
  </si>
  <si>
    <t>Runtime validation (Orin)</t>
  </si>
  <si>
    <t>Embedded deployment, runtime validation, ROS2 integration</t>
  </si>
  <si>
    <t>Illustrative / unexecuted</t>
  </si>
  <si>
    <t>From each person’s own PRE-VAL start date.</t>
  </si>
  <si>
    <t>Orin: NVMe SSD for edge logging</t>
  </si>
  <si>
    <t>Year 2</t>
  </si>
  <si>
    <r>
      <rPr>
        <rFont val="Calibri"/>
        <color theme="1"/>
        <sz val="11.0"/>
      </rPr>
      <t xml:space="preserve">5% </t>
    </r>
    <r>
      <rPr>
        <rFont val="Calibri"/>
        <i/>
        <color rgb="FF434343"/>
        <sz val="10.0"/>
      </rPr>
      <t>(500,000 shares)</t>
    </r>
  </si>
  <si>
    <t>Subject to individual negotiation and definitive documentation.</t>
  </si>
  <si>
    <t>Year 3</t>
  </si>
  <si>
    <t xml:space="preserve">total shares </t>
  </si>
  <si>
    <t>Local buffering of sensor logs and TrustVault artefacts</t>
  </si>
  <si>
    <t>Orin: rugged network switch / router</t>
  </si>
  <si>
    <t>Year 4</t>
  </si>
  <si>
    <t>Year 5</t>
  </si>
  <si>
    <t>Year 6</t>
  </si>
  <si>
    <t>Field-test networking and ROS2 data routing</t>
  </si>
  <si>
    <t>Year 7</t>
  </si>
  <si>
    <t>Orin: power delivery / spare PSU</t>
  </si>
  <si>
    <t>May change based on role, negotiation, board approval, counsel input and signed RSA or option agreement.</t>
  </si>
  <si>
    <t>Embedded Sys Equity</t>
  </si>
  <si>
    <t>Founder vesting is governed by the executed four-year RSA schedule above. The illustrative seven-year core-team schedule does not apply to THMS.</t>
  </si>
  <si>
    <r>
      <rPr>
        <rFont val="Calibri"/>
        <b/>
        <i/>
        <color rgb="FF5B4B00"/>
        <sz val="9.0"/>
        <u/>
      </rPr>
      <t xml:space="preserve">Nota Bene : </t>
    </r>
    <r>
      <rPr>
        <rFont val="Calibri"/>
        <i/>
        <color rgb="FF5B4B00"/>
        <sz val="9.0"/>
      </rPr>
      <t>Legal ownership, reserved equity, planned grants, and pro forma financing outcomes are shown separately. Core-team allocations and SAFE outcomes are illustrative planning assumptions only; they are not current legal ownership, executed grants, or issued securities. All future grants remain subject to board approval, definitive documentation, applicable tax and legal review, and the terms of any future financing.</t>
    </r>
  </si>
  <si>
    <t>Stable power during demos and field tests</t>
  </si>
  <si>
    <t>Orin: housings, cables, adapters</t>
  </si>
  <si>
    <t>7. RECONCILIATION CHECKS</t>
  </si>
  <si>
    <t>Legal issued shares total</t>
  </si>
  <si>
    <t>Mechanical integration and deployment readiness</t>
  </si>
  <si>
    <t>Partner robot integration kit</t>
  </si>
  <si>
    <t>Partner robot integration</t>
  </si>
  <si>
    <t>Jetson mounting brackets, power tap, cable harness and connector adapters for partner-supplied humanoid platforms</t>
  </si>
  <si>
    <t>Jetson AGX Thor Developer Kit</t>
  </si>
  <si>
    <r>
      <rPr>
        <rFont val="Calibri"/>
        <color theme="1"/>
        <sz val="11.0"/>
      </rPr>
      <t xml:space="preserve">10% </t>
    </r>
    <r>
      <rPr>
        <rFont val="Calibri"/>
        <i/>
        <color rgb="FF434343"/>
        <sz val="10.0"/>
      </rPr>
      <t>(1,000,000 shares)</t>
    </r>
  </si>
  <si>
    <t>Issued-share ledger control.</t>
  </si>
  <si>
    <t>Month 12-15 (modelled M13)</t>
  </si>
  <si>
    <t>On-device multimodal reasoning</t>
  </si>
  <si>
    <t>On-device multimodal reasoning, local VLM/VLA inference, TrustVault runtime</t>
  </si>
  <si>
    <t>Thor: NVMe SSD for local model storage</t>
  </si>
  <si>
    <t>Corporate authorization control.</t>
  </si>
  <si>
    <t>Fully diluted planning model</t>
  </si>
  <si>
    <t>Store local reasoning models, embeddings and cached context</t>
  </si>
  <si>
    <t>Thor: rugged network switch / router</t>
  </si>
  <si>
    <t>NEXT</t>
  </si>
  <si>
    <t>Key-hire AI/Robotics</t>
  </si>
  <si>
    <t>Illustrative units, not legal issued shares.</t>
  </si>
  <si>
    <t>Pre-SAFE planned ownership</t>
  </si>
  <si>
    <t>To be found</t>
  </si>
  <si>
    <t>Field connectivity for offline-first deployments</t>
  </si>
  <si>
    <t>Thor: power delivery / enclosure / adapters</t>
  </si>
  <si>
    <r>
      <rPr>
        <rFont val="Calibri"/>
        <color rgb="FFEFEFEF"/>
        <sz val="11.0"/>
      </rPr>
      <t xml:space="preserve">10% </t>
    </r>
    <r>
      <rPr>
        <rFont val="Calibri"/>
        <i/>
        <color rgb="FFD9D9D9"/>
        <sz val="10.0"/>
      </rPr>
      <t>(1,000,000 shares)</t>
    </r>
  </si>
  <si>
    <t>provisioned</t>
  </si>
  <si>
    <t>Power and integration for robot-mounted deployment</t>
  </si>
  <si>
    <t>Normalized among founder, core team targets and ESOP.</t>
  </si>
  <si>
    <t>Post-SAFE planned ownership</t>
  </si>
  <si>
    <t xml:space="preserve">*: 40% core-team pool at Seed. (ESOP 10% &amp; SAFE Investors 10%) </t>
  </si>
  <si>
    <t>Embedded AI Compute — SUBTOTAL</t>
  </si>
  <si>
    <t>Founder + core team + ESOP + SAFE.</t>
  </si>
  <si>
    <t>EXECUTIVE SUMMARY</t>
  </si>
  <si>
    <t>SAFE tiers total</t>
  </si>
  <si>
    <t>EMPLOYEE COST ROLL-UP</t>
  </si>
  <si>
    <t>NOTES &amp; METHODOLOGY — HIRING PLAN</t>
  </si>
  <si>
    <t>Three proposed tiers.</t>
  </si>
  <si>
    <t>All checks compare formulas to the confirmed legal and planning controls; PASS does not convert a planning assumption into issued ownership.</t>
  </si>
  <si>
    <t>Employee</t>
  </si>
  <si>
    <t>8. OWNERSHIP CHART</t>
  </si>
  <si>
    <t>The chart below uses only the four owner groups in the Pro Forma Post-SAFE Ownership section (rows 44–47).</t>
  </si>
  <si>
    <t>Monthly Gross Salary</t>
  </si>
  <si>
    <t>Employer Cost</t>
  </si>
  <si>
    <t>Annual Cost</t>
  </si>
  <si>
    <t>18-Month Cost</t>
  </si>
  <si>
    <t>1. “Start Month” indicates the first month of planned engagement or compensation, including initial test-period arrangements.</t>
  </si>
  <si>
    <t>Total Payroll (12 Months)</t>
  </si>
  <si>
    <t>Lab Operations &amp; Risk</t>
  </si>
  <si>
    <t>€250 / active core-team FTE / month</t>
  </si>
  <si>
    <t>Linked to core-team Start Months in the Hiring &amp; Compensation Plan.</t>
  </si>
  <si>
    <t>Core-team Hosting — SUBTOTAL</t>
  </si>
  <si>
    <t>Lab safety equipment (E-stop, barriers, PPE)</t>
  </si>
  <si>
    <t>STRATEGIC OPERATIONS, TRAVEL &amp; PROFESSIONAL SERVICES</t>
  </si>
  <si>
    <t>18-month operating budget for targeted expertise, partnership travel, core-team mobility, strategic hospitality and essential corporate services. No events or broad representation budget.</t>
  </si>
  <si>
    <t>2. “Total Payroll” represents cumulative gross salaries. “Total Employer Cost” includes modeled employer charges and the fractional CTO expenditure.</t>
  </si>
  <si>
    <t>OPERATING CONSUMABLES</t>
  </si>
  <si>
    <t>Total Payroll (18 Months)</t>
  </si>
  <si>
    <t>Lab safety readiness</t>
  </si>
  <si>
    <t>Operator safety obligations once powered actuation enters the lab</t>
  </si>
  <si>
    <t>Equipment insurance (18 months)</t>
  </si>
  <si>
    <t>ADVISORY &amp; PROFESSIONAL SERVICES</t>
  </si>
  <si>
    <t>Operating Consumables</t>
  </si>
  <si>
    <t>Office and lab consumables / miscellaneous</t>
  </si>
  <si>
    <t>Insurance estimate on ~52k EUR of assets</t>
  </si>
  <si>
    <t>Ongoing (M1-M18)</t>
  </si>
  <si>
    <t>Ongoing asset protection</t>
  </si>
  <si>
    <t>Cover theft, damage and loss on Xsens, Delsys, MANUS and compute assets</t>
  </si>
  <si>
    <t>3. Employer costs use the JEI-adjusted assumptions shown in the detailed schedule. Standard employer charges are retained for comparison and transparency.</t>
  </si>
  <si>
    <t>Warranty / extended support contracts</t>
  </si>
  <si>
    <t>Advisory &amp; Professional Services</t>
  </si>
  <si>
    <t>Average Monthly Payroll</t>
  </si>
  <si>
    <t>Robotics / embodied AI expert consultations</t>
  </si>
  <si>
    <t>User-provided estimate; excludes technical hardware already budgeted in the BOM.</t>
  </si>
  <si>
    <t>Operating Consumables — SUBTOTAL</t>
  </si>
  <si>
    <t>Vendor support estimate</t>
  </si>
  <si>
    <t>Hardware support readiness</t>
  </si>
  <si>
    <t>Coverage on Jetson, GPU and NAS hardware</t>
  </si>
  <si>
    <t>Hardware contingency reserve (5% of physical assets)</t>
  </si>
  <si>
    <t>5% of pre-contingency physical assets (52.007,00EUR)</t>
  </si>
  <si>
    <t>6 targeted engagements; €10,000 total</t>
  </si>
  <si>
    <t>Reserve, drawn M1-M18</t>
  </si>
  <si>
    <t>User-defined envelope: 3 × €1,000, 2 × €2,000 and 1 × €3,000.</t>
  </si>
  <si>
    <t>Risk reserve</t>
  </si>
  <si>
    <t>Accounting, payroll and corporate administration</t>
  </si>
  <si>
    <t>Failure, calibration drift, shipping damage, single-unit replacement</t>
  </si>
  <si>
    <t>4. “Annual Cost” in the employee roll-up represents the actual first 12 months of the hiring schedule, not a normalized annual run rate.</t>
  </si>
  <si>
    <t>Average Team Size</t>
  </si>
  <si>
    <t>RISK PROVISION</t>
  </si>
  <si>
    <t>€500 / month</t>
  </si>
  <si>
    <t>Provisional recurring support for bookkeeping, payroll administration, annual accounts and routine filings.</t>
  </si>
  <si>
    <t>Advisory &amp; Professional Services — SUBTOTAL</t>
  </si>
  <si>
    <t>Lab Operations &amp; Risk — SUBTOTAL</t>
  </si>
  <si>
    <t>Risk Provision</t>
  </si>
  <si>
    <t>Operating contingency reserve</t>
  </si>
  <si>
    <t>TRAVEL &amp; PARTNERSHIP DEVELOPMENT</t>
  </si>
  <si>
    <t>5. Average team size is calculated from each contributor’s Start Month and includes the fractional CTO as an active contributor.</t>
  </si>
  <si>
    <t>Cloud Compute (OpEx)</t>
  </si>
  <si>
    <t>Travel &amp; Partnership Development</t>
  </si>
  <si>
    <t>Total Employer Cost (18 Months)</t>
  </si>
  <si>
    <t>Core-team Paris–Toulouse mobility</t>
  </si>
  <si>
    <t>5% of recurring HQ operating costs</t>
  </si>
  <si>
    <t>Formula-driven; excludes deposit, entry fees and furniture/fit-out.</t>
  </si>
  <si>
    <t>Risk Provision — SUBTOTAL</t>
  </si>
  <si>
    <t>Inference / evaluation (~40 GPU-hr/month, low-cost GPUs)</t>
  </si>
  <si>
    <t>TOTAL HQ &amp; LAB — 18-MONTH CASH PLAN</t>
  </si>
  <si>
    <t>6. This schedule covers compensation-related expenditure only. Travel, accommodation, meals, recruitment costs and other operating expenses should be budgeted separately in the future financial model.</t>
  </si>
  <si>
    <t>NOTES &amp; METHODOLOGY — HQ &amp; LAB</t>
  </si>
  <si>
    <t>RunPod / Vast.ai class pricing</t>
  </si>
  <si>
    <t>Continuous inference &amp; evaluation</t>
  </si>
  <si>
    <t>Category</t>
  </si>
  <si>
    <t>Burst inference and model evaluation runs</t>
  </si>
  <si>
    <t>% of 18M total</t>
  </si>
  <si>
    <t>Cost behavior</t>
  </si>
  <si>
    <t>Scope</t>
  </si>
  <si>
    <t>Experimentation (~80 GPU-hr/month, mid-tier GPUs)</t>
  </si>
  <si>
    <t>Recurring + M1 entry cash</t>
  </si>
  <si>
    <t>Rent, premises insurance, deposit and entry fees</t>
  </si>
  <si>
    <t>Lambda Labs / RunPod market references</t>
  </si>
  <si>
    <t>Experimentation ramp</t>
  </si>
  <si>
    <t>1. User-provided assumptions retained unchanged: rent €5,000/month; premises insurance €50/month; utilities €100/month; office/lab miscellaneous €250/month; food €1,000/month at four active core-team FTE.
2. Food is modeled at €250 per active core-team FTE and linked to Start Month cells in the Hiring &amp; Compensation Plan: 1 FTE in M1, 3 FTE in M2–M4 and 4 FTE from M5.
3. Security deposit is provisioned at two months of rent (€10,000), paid in M1 and treated as recoverable working capital rather than OpEx.
4. Lease, agency, legal and move-in fees are provisioned at €5,000 in M1 pending the selected property and lease structure.
5. Added provisional recurring estimates: internet €100/month; cleaning and household supplies €250/month; minor maintenance and repairs €150/month.
6. Furniture, fit-out and appliances are provisioned at €5,000 in M1 as upfront CapEx.
7. The €100/month utilities assumption is retained but should be validated against heating, water, property size and sustained lab-compute electricity consumption.
8. A 5% operating contingency is applied to recurring HQ costs only. It excludes the deposit, move-in fees and furniture/fit-out.
9. VAT treatment is not modeled in this tab. Values are cash-planning estimates and must later be normalized consistently across the financial model.
10. Excluded from this tab: Paris–Toulouse travel, payroll, business taxes/CFE, lab hardware already in the BOM, robot freight and broader corporate overhead.</t>
  </si>
  <si>
    <t>Architecture and pipeline experimentation, benchmarking</t>
  </si>
  <si>
    <t>Fine-tuning (~140 GPU-hr/month in selected bursts)</t>
  </si>
  <si>
    <t>Recurring + M1 fit-out</t>
  </si>
  <si>
    <t>Utilities, connectivity, cleaning, maintenance and fit-out</t>
  </si>
  <si>
    <t>A100 / H100 burst pricing</t>
  </si>
  <si>
    <t>Fine-tuning ramp</t>
  </si>
  <si>
    <t>Policy and VLM fine-tuning on captured datasets</t>
  </si>
  <si>
    <t>Larger training jobs (event-driven, ~1.500 GPU-hr @ ~7,00EUR/hr)</t>
  </si>
  <si>
    <t>Scales with active FTE</t>
  </si>
  <si>
    <t>Food at €250 per active core-team FTE</t>
  </si>
  <si>
    <t>Hyperscaler H100 tier ~7,00EUR/GPU-hr (AWS 6,88-7,57 USD)</t>
  </si>
  <si>
    <t>Recurring</t>
  </si>
  <si>
    <t>Model iteration milestones</t>
  </si>
  <si>
    <t>Milestone training runs clustered around model iterations</t>
  </si>
  <si>
    <t>Office and general lab consumables</t>
  </si>
  <si>
    <t>Storage, snapshots, transfer, misc. services</t>
  </si>
  <si>
    <t>Formula-driven</t>
  </si>
  <si>
    <t>5% contingency on recurring HQ operating costs</t>
  </si>
  <si>
    <t>GRAND TOTAL</t>
  </si>
  <si>
    <t>Cloud service usage projection</t>
  </si>
  <si>
    <t>Data operations</t>
  </si>
  <si>
    <t>Dataset storage, snapshots, egress and ancillary services</t>
  </si>
  <si>
    <t>HQ &amp; LAB KPIs</t>
  </si>
  <si>
    <t>Cloud Compute (OpEx) — SUBTOTAL</t>
  </si>
  <si>
    <t>Steady-state monthly HQ &amp; lab cost</t>
  </si>
  <si>
    <t>One-off entry cash requirements</t>
  </si>
  <si>
    <t>€200 / active non-local member / month</t>
  </si>
  <si>
    <t>Formula-linked to Joseph, Dali and Nader Start Months; assumes one necessary round trip per active member per month.</t>
  </si>
  <si>
    <t>International partnership missions</t>
  </si>
  <si>
    <t>Recoverable security deposit</t>
  </si>
  <si>
    <t>18M operating cost excl. recoverable deposit</t>
  </si>
  <si>
    <t>Food provision per active core-team FTE</t>
  </si>
  <si>
    <t>3 missions × €3,000</t>
  </si>
  <si>
    <t>Rare, targeted missions only; envelope includes transport, hotel, meals, local mobility and eSIM.</t>
  </si>
  <si>
    <t>Partner logistics, shipping and customs</t>
  </si>
  <si>
    <t>Event-driven provision</t>
  </si>
  <si>
    <t>Provisional transport of samples, sensors or partner equipment; excludes robot purchase.</t>
  </si>
  <si>
    <t>Travel &amp; Partnership Development — SUBTOTAL</t>
  </si>
  <si>
    <t>STRATEGIC HOSPITALITY</t>
  </si>
  <si>
    <t>COGNITRONICS — CASH FLOW &amp; RUNWAY</t>
  </si>
  <si>
    <t>Strategic Hospitality</t>
  </si>
  <si>
    <t>Investor and key-profile working meals</t>
  </si>
  <si>
    <t>Editable 18-month scenario cockpit · funding timing, team compensation, infrastructure and dependent operating costs</t>
  </si>
  <si>
    <t>Yellow cells are editable scenario inputs. Blank overrides preserve the linked baseline. M0 is the financing event before M1 operations; all source tabs remain unchanged.</t>
  </si>
  <si>
    <t>TOTAL INFRASTRUCTURE — MVP &amp; LAB HARDWARE</t>
  </si>
  <si>
    <t>€200 / month from M3</t>
  </si>
  <si>
    <t>Small controlled envelope for substantive investor, advisor and partner meetings.</t>
  </si>
  <si>
    <t>Strategic Hospitality — SUBTOTAL</t>
  </si>
  <si>
    <t>SCENARIO OUTPUTS</t>
  </si>
  <si>
    <t>Interpretation</t>
  </si>
  <si>
    <t>Full operating months funded</t>
  </si>
  <si>
    <t>CORPORATE SYSTEMS &amp; ADMIN</t>
  </si>
  <si>
    <t>Corporate Systems &amp; Admin</t>
  </si>
  <si>
    <t>General SaaS, collaboration and security tools</t>
  </si>
  <si>
    <t>Provisional envelope for workspace, code collaboration, documentation, communication and account security; excludes BOM-specific tools.</t>
  </si>
  <si>
    <t>Banking, payment and administrative fees</t>
  </si>
  <si>
    <t>Provisional recurring corporate administration envelope.</t>
  </si>
  <si>
    <t>Corporate Systems &amp; Admin — SUBTOTAL</t>
  </si>
  <si>
    <t>Completed months before the first negative ending balance.</t>
  </si>
  <si>
    <t>First cash-shortfall month</t>
  </si>
  <si>
    <t>LEGAL, IP &amp; RECRUITMENT</t>
  </si>
  <si>
    <t>% of 18M budget</t>
  </si>
  <si>
    <t>Purchase phase</t>
  </si>
  <si>
    <t>Legal, IP &amp; Recruitment</t>
  </si>
  <si>
    <r>
      <rPr>
        <rFont val="Calibri"/>
        <b/>
        <i/>
        <color rgb="FF1F3864"/>
      </rPr>
      <t xml:space="preserve">Notes &amp; methodology - BOM v3 </t>
    </r>
    <r>
      <rPr>
        <rFont val="Calibri"/>
        <b/>
        <i/>
        <color rgb="FF999999"/>
      </rPr>
      <t>(Bill of Materials)</t>
    </r>
  </si>
  <si>
    <t>Legal, partnership and investment documentation</t>
  </si>
  <si>
    <t>€10,000 staged provision</t>
  </si>
  <si>
    <t>Contracts, partnership agreements, employment matters and financing documentation.</t>
  </si>
  <si>
    <t>IP strategy, patentability and freedom-to-operate work</t>
  </si>
  <si>
    <t>Initial IP landscaping and targeted specialist work; filing strategy remains scope-dependent.</t>
  </si>
  <si>
    <t>A later SAFE cannot bridge a shortfall that occurs before its closing.</t>
  </si>
  <si>
    <t>Recruitment, sourcing and technical assessment</t>
  </si>
  <si>
    <t>Minimum cash balance</t>
  </si>
  <si>
    <t>1. All prices are HT (excluding VAT). Column structure mirrors the 'Team Compensation Timeline' tab: D:U = M1..M18, V = TOTAL 12M (=SUM(D:O)), W = TOTAL 18M (=SUM(D:U)). All totals are live formulas.</t>
  </si>
  <si>
    <t>€3,000 event-driven</t>
  </si>
  <si>
    <t>Small provision for a future specialist hire; excludes agency-scale recruitment.</t>
  </si>
  <si>
    <t>Corporate liability / cyber / D&amp;O insurance</t>
  </si>
  <si>
    <t>Lowest month-end liquidity in the selected scenario.</t>
  </si>
  <si>
    <t>€2,000 annual; M1 and M13</t>
  </si>
  <si>
    <t>Cash remaining at M18</t>
  </si>
  <si>
    <t>Validated €4,000 cash provision covering corporate liability/RC Pro, cyber and D&amp;O: €2,000 at M1 and renewal at M13; separate from premises and equipment insurance.</t>
  </si>
  <si>
    <t>Legal, IP &amp; Recruitment — SUBTOTAL</t>
  </si>
  <si>
    <t>2. CapEx items are booked in full in their purchase month (cash-out basis), not depreciated. French practice allows 3-year straight-line depreciation for computer equipment above 500,00EUR HT unit value (compte 2183); items below expense immediately (compte 6063).</t>
  </si>
  <si>
    <t>Ending cash after all modeled inflows and outflows.</t>
  </si>
  <si>
    <t>Total scenario spend — M1 to M18</t>
  </si>
  <si>
    <t>Payroll, infrastructure, HQ and strategic operations.</t>
  </si>
  <si>
    <t>Spend variance vs linked baseline</t>
  </si>
  <si>
    <t>Positive means the scenario costs more than the current detailed schedules.</t>
  </si>
  <si>
    <t>3. Jetson AGX Thor is booked in M13 as the mid-point of the documented Month 12-15 window. It therefore falls outside TOTAL 12M by design - this is the disciplined-capital-allocation story, not an omission.</t>
  </si>
  <si>
    <t>Funding received by M18</t>
  </si>
  <si>
    <t>Only tiers whose selected closing month falls within M0–M18.</t>
  </si>
  <si>
    <t>Month 4 (Orin) / M12-15 (Thor)</t>
  </si>
  <si>
    <t>Model controls</t>
  </si>
  <si>
    <t>4. Cloud compute is spread as a ramp, not flat: usage grows as datasets and model iterations grow. Larger training jobs are booked as four event-driven bursts (M8, M11, M14, M17).</t>
  </si>
  <si>
    <t>Variable operations contingency</t>
  </si>
  <si>
    <t>M1 / M4 / ongoing reserve</t>
  </si>
  <si>
    <t>5. Confidence grades: A = official vendor pricing or quotation; B = current market pricing from reputable distributors or integrators; C = engineering estimate or projected pricing.</t>
  </si>
  <si>
    <t>Ongoing M1-M18</t>
  </si>
  <si>
    <t>Checks sequential SAFE timing and reconciliation to the €653,556 linked baseline.</t>
  </si>
  <si>
    <t>FUNDING CLOSING CONTROLS</t>
  </si>
  <si>
    <t>10% of variable / event-driven costs</t>
  </si>
  <si>
    <t>Applied to consulting, travel, hospitality, legal, IP, recruitment and partner logistics; excludes recurring accounting, SaaS and bank fees.</t>
  </si>
  <si>
    <t>Scenario closing month</t>
  </si>
  <si>
    <t>Mechanics</t>
  </si>
  <si>
    <t>CHANGES APPLIED FROM BOM v2 (total 69.727,00EUR -&gt; 78.982,00EUR, +9.255,00EUR):</t>
  </si>
  <si>
    <t xml:space="preserve">  Arithmetic corrections (+990,00EUR): Capture subtotal 24.009 -&gt; 23.999 (line items never summed to 24.009); Development Compute 6.880 -&gt; 7.880 (2 x 4TB NVMe counted once); KPI Physical Assets 46.727 -&gt; reconciled (v2 contradicted its own category sums and printed three different grand totals).</t>
  </si>
  <si>
    <t>INFRASTRUCTURE KPIs</t>
  </si>
  <si>
    <t xml:space="preserve">  Market re-pricing (+2.090,00EUR): RTX 5090 2.800 -&gt; 4.000 (French retail 3.700-5.500, MSRP 2.349 not achievable); 192GB DDR5 650 -&gt; 1.250 (2026 memory shortage); RealSense D435i 200 -&gt; 320 (street price, plus disclosed Intel discontinuation risk); Logitech Brio 200 -&gt; 170 (Logitech FR list); workstation UPS 350 -&gt; 550 (1500VA class for 575W GPU + 170W CPU).</t>
  </si>
  <si>
    <t>Physical assets (CapEx, HT, 18M)</t>
  </si>
  <si>
    <t>TOTAL STRATEGIC OPERATIONS &amp; TRAVEL — 18-MONTH PLAN</t>
  </si>
  <si>
    <t>M0</t>
  </si>
  <si>
    <t>Cash becomes available in the selected month.</t>
  </si>
  <si>
    <t xml:space="preserve">  New scope: multi-sensor calibration rig 1.500 (M1); RoboSense RS-Helios-16P room-scale LiDAR 1.500 reinstated (M4); partner robot integration kit 1.000 (M4); Lab Operations &amp; Risk category (safety equipment, 18-month equipment insurance, warranty/support, 5% hardware contingency reserve).</t>
  </si>
  <si>
    <t>Recurring cloud compute (OpEx, 18M)</t>
  </si>
  <si>
    <t xml:space="preserve">  Cloud fix (0,00EUR): 'Larger training jobs' GPU-hour assumption corrected from 240 to 1.500 hours so the implied rate is 7,00EUR/GPU-hr instead of 43,75EUR/GPU-hr, which exceeded every real market rate. Budget unchanged.</t>
  </si>
  <si>
    <t>Total infrastructure investment (HT, 18M)</t>
  </si>
  <si>
    <t xml:space="preserve">  Verified unchanged: Jetson Orin 3.499 and Thor 5.499 both match NVIDIA post-July-2026 MSRPs; MANUS Quantum 4.999 exact match to EU reseller; Xsens, Delsys, Rode, CVAT, NVMe, PSU, monitors all within market range.</t>
  </si>
  <si>
    <t>NOTES &amp; METHODOLOGY — STRATEGIC OPERATIONS</t>
  </si>
  <si>
    <t>Total infrastructure investment (HT, 12M)</t>
  </si>
  <si>
    <t>1. Recommended tab name: “Strategic Ops &amp; Travel”. “Other expenses” is too generic for an investor-facing model.
2. Expert consulting totals €10,000 exactly: three €1,000 sessions, two €2,000 assignments and one €3,000 deep engagement, staged from M2 to M14.
3. Paris–Toulouse mobility is modeled at €200 per active non-local core-team member per month, linked to Joseph, Dali and Nader Start Months. This assumes one necessary round trip each month.
4. International travel is limited to three targeted partnership missions at €3,000 each. Transport, hotel, meals, local transport and eSIM are included; conferences, events and general representation are excluded.
5. Strategic hospitality is capped at €200/month from M3 and limited to substantive meetings with investors, advisors, technical experts or partners.
6. Added essential provisions: accounting/payroll administration €500/month; general SaaS €250/month; bank/admin fees €100/month; legal documentation €10,000; IP/FTO work €10,000; recruitment €3,000; partner logistics €5,000.
7. Corporate liability, cyber and D&amp;O insurance is provisioned at €4,000 cash over 18 months: €2,000 at M1 and €2,000 renewal at M13. It remains subject to broker quotes and is separate from premises and equipment insurance.
8. A 10% contingency applies only to variable and event-driven operational costs; it excludes recurring accounting, SaaS, banking and insurance lines.
9. VAT treatment is not modeled in this tab. Values are cash-planning estimates and should later be normalized consistently across the full financial model.
10. Excluded: product marketing, paid events, broad business development, sales commissions, robot purchase, payroll, HQ costs and infrastructure already modeled elsewhere.</t>
  </si>
  <si>
    <t>Insurance premiums (VAT-exempt in France)</t>
  </si>
  <si>
    <t>VAT: prices are HT. 20% French VAT on the equipment base (physical assets less VAT-exempt insurance premiums) is a cash-timing item, recoverable in full via CA3 box 20 under regime reel for exclusively professional use. Requires SASU/EURL/SAS - micro-enterprise status does not permit recovery. Cloud compute from non-EU providers falls under reverse charge (autoliquidation), no net cash outflow.</t>
  </si>
  <si>
    <t>VAT-bearing equipment base (HT)</t>
  </si>
  <si>
    <t>Initial M0 / M3 / M6 sequence is illustrative and fully editable.</t>
  </si>
  <si>
    <t>Recurring + milestone-based</t>
  </si>
  <si>
    <t>CIR: the 30% credit applies to the annual depreciation charge for R&amp;D-exclusive use, NOT the full purchase price. Do not present this BOM as generating 30% on its total value.</t>
  </si>
  <si>
    <t>Expert consultations and accounting/admin</t>
  </si>
  <si>
    <t>Recoverable VAT at 20% (cash-timing)</t>
  </si>
  <si>
    <t>FTE-linked + event-driven</t>
  </si>
  <si>
    <t>Domestic mobility, rare international missions and logistics</t>
  </si>
  <si>
    <t>TEAM COMPENSATION SCENARIO</t>
  </si>
  <si>
    <t>Member</t>
  </si>
  <si>
    <t>JEI: companies incorporated from 1 January 2024 onward lose the corporate income tax exemption; only the employer social-charge exemption survives.</t>
  </si>
  <si>
    <t>Baseline start</t>
  </si>
  <si>
    <t>Physical assets TTC (pre-recovery)</t>
  </si>
  <si>
    <t>Start override</t>
  </si>
  <si>
    <t>Effective start</t>
  </si>
  <si>
    <t>Baseline net / direct fee</t>
  </si>
  <si>
    <t>Net / fee override</t>
  </si>
  <si>
    <t>Effective net / fee</t>
  </si>
  <si>
    <t>Gross ÷ net</t>
  </si>
  <si>
    <t>JEI charge ÷ gross</t>
  </si>
  <si>
    <t>Scenario gross</t>
  </si>
  <si>
    <t>Scenario JEI charges</t>
  </si>
  <si>
    <t>Scenario monthly TCO</t>
  </si>
  <si>
    <t>Baseline 18M cost</t>
  </si>
  <si>
    <t>Scenario 18M cost</t>
  </si>
  <si>
    <t>Controlled recurring envelope</t>
  </si>
  <si>
    <t>Variance</t>
  </si>
  <si>
    <t>Operating budget reference</t>
  </si>
  <si>
    <t>ROBOT PLATFORM – deliberately not purchased. Physical validation runs on humanoid units supplied by manufacturers under partnership or evaluation agreements, avoiding significant CapEx and giving access to multiple morphologies instead of a single chassis. Freight, duty and ATA carnet responsibility are set in the partnership agreement, and insurance is extended to third‑party equipment held in custody.</t>
  </si>
  <si>
    <t>General SaaS and corporate administration</t>
  </si>
  <si>
    <t>Share of operating budget</t>
  </si>
  <si>
    <t>Milestone-based + annual insurance</t>
  </si>
  <si>
    <t>Contracts, IP work, targeted recruitment and corporate insurance</t>
  </si>
  <si>
    <t>DEFERRED, NOT BUDGETED: simulation-as-a-service (5.000-25.000EUR, only if simulation is not built in-house), spare capture units (~18.000,00EUR, rejected in favour of the contingency reserve).</t>
  </si>
  <si>
    <t>Raise reference (750k)</t>
  </si>
  <si>
    <t>10% contingency on variable and event-driven costs</t>
  </si>
  <si>
    <t>SINGLE POINT OF FAILURE: one Xsens suit, one Delsys kit, one MANUS glove pair, one workstation, no redundancy. Mitigation is warranty coverage plus the 2.600,00EUR contingency reserve, not spare units. Disclosed and priced rather than ignored.</t>
  </si>
  <si>
    <t>Share of raise</t>
  </si>
  <si>
    <t>OPERATIONS KPIs</t>
  </si>
  <si>
    <t>Expert consulting envelope</t>
  </si>
  <si>
    <t>Core-team domestic mobility</t>
  </si>
  <si>
    <t>International missions and partner logistics</t>
  </si>
  <si>
    <t>Professional services, legal and IP</t>
  </si>
  <si>
    <t>Strategic hospitality</t>
  </si>
  <si>
    <t>18M strategic operations budget</t>
  </si>
  <si>
    <t>Average monthly operations budget</t>
  </si>
  <si>
    <t>Variable-cost contingency</t>
  </si>
  <si>
    <t>Fractional CTO / direct fee</t>
  </si>
  <si>
    <t>TOTAL TEAM</t>
  </si>
  <si>
    <t>Salary overrides scale and shift each person’s existing monthly TCO profile. Gross and JEI charges use the current stable-stage ratios from the Hiring Plan; MAXM remains a direct-fee profile.</t>
  </si>
  <si>
    <t>INFRASTRUCTURE SCENARIO</t>
  </si>
  <si>
    <t>Source subtotal</t>
  </si>
  <si>
    <t>Baseline 18M</t>
  </si>
  <si>
    <t>Cost override</t>
  </si>
  <si>
    <t>Effective budget</t>
  </si>
  <si>
    <t>Timing shift (months)</t>
  </si>
  <si>
    <t>Scenario spend through M18</t>
  </si>
  <si>
    <t>Variance vs baseline</t>
  </si>
  <si>
    <t>Remaining after M18</t>
  </si>
  <si>
    <t>BOM row 18</t>
  </si>
  <si>
    <t>BOM row 24</t>
  </si>
  <si>
    <t>BOM row 40</t>
  </si>
  <si>
    <t>BOM row 53</t>
  </si>
  <si>
    <t>BOM row 60</t>
  </si>
  <si>
    <t>BOM row 68</t>
  </si>
  <si>
    <t>TOTAL INFRASTRUCTURE</t>
  </si>
  <si>
    <t>Cost overrides scale the linked category profile. Timing shift moves that profile by whole months; positive values delay spending and amounts shifted beyond M18 appear as remaining allocation.</t>
  </si>
  <si>
    <t>DEPENDENT COST &amp; VAT CONTROLS</t>
  </si>
  <si>
    <t>Driver</t>
  </si>
  <si>
    <t>Timing / Basis</t>
  </si>
  <si>
    <t>Baseline</t>
  </si>
  <si>
    <t>Override</t>
  </si>
  <si>
    <t>Effective</t>
  </si>
  <si>
    <t>Scenario effect</t>
  </si>
  <si>
    <t>Estimated deductible VAT cash refund</t>
  </si>
  <si>
    <t>Cash inflow only; base case remains €0 until invoice-level deductible VAT is quantified.</t>
  </si>
  <si>
    <t>HQ food &amp; hosting / active core member / month</t>
  </si>
  <si>
    <t>Automatically follows effective start months for THMS, JSPH, DALI and NADR.</t>
  </si>
  <si>
    <t>Paris–Toulouse mobility / active non-local member / month</t>
  </si>
  <si>
    <t>Automatically follows effective start months for JSPH, DALI and NADR.</t>
  </si>
  <si>
    <t>MONTHLY CASH FLOW</t>
  </si>
  <si>
    <t>Cash-flow line</t>
  </si>
  <si>
    <t>18M / END</t>
  </si>
  <si>
    <t>Tier 1 SAFE inflow</t>
  </si>
  <si>
    <t>Tier 2 SAFE inflow</t>
  </si>
  <si>
    <t>Tier 3 SAFE inflow</t>
  </si>
  <si>
    <t>TOTAL FUNDING INFLOWS</t>
  </si>
  <si>
    <t>BASELINE OUTFLOWS</t>
  </si>
  <si>
    <t>Payroll — linked baseline</t>
  </si>
  <si>
    <t>Infrastructure — linked baseline</t>
  </si>
  <si>
    <t>HQ &amp; lab — linked baseline</t>
  </si>
  <si>
    <t>Strategic operations — linked baseline</t>
  </si>
  <si>
    <t>TOTAL BASELINE OUTFLOWS</t>
  </si>
  <si>
    <t>SCENARIO OUTFLOWS</t>
  </si>
  <si>
    <t>Payroll — scenario</t>
  </si>
  <si>
    <t>Infrastructure — scenario</t>
  </si>
  <si>
    <t>HQ &amp; lab — scenario</t>
  </si>
  <si>
    <t>Strategic operations — scenario</t>
  </si>
  <si>
    <t>TOTAL SCENARIO OUTFLOWS</t>
  </si>
  <si>
    <t>VAT REFUND INFLOW</t>
  </si>
  <si>
    <t>NET CASH FLOW</t>
  </si>
  <si>
    <t>OPENING CASH</t>
  </si>
  <si>
    <t>ENDING CASH</t>
  </si>
  <si>
    <t>LIQUIDITY STATUS</t>
  </si>
  <si>
    <t>CALCULATION SUPPORT — TEAM MONTHLY PROFILES</t>
  </si>
  <si>
    <t>TEAM PAYROLL — SCENARIO TOTAL</t>
  </si>
  <si>
    <t>CALCULATION SUPPORT — INFRASTRUCTURE MONTHLY PROFILES</t>
  </si>
  <si>
    <t>INFRASTRUCTURE — SCENARIO TOTAL</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</si>
</sst>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quot;$&quot;#,##0;[Red](&quot;$&quot;#,##0);-"/>
    <numFmt numFmtId="165" formatCode="&quot;€&quot;#,##0;[Red](&quot;€&quot;#,##0);-"/>
    <numFmt numFmtId="166" formatCode="#,##0.00\ &quot;€&quot;"/>
    <numFmt numFmtId="167" formatCode="&quot;$&quot;0.0,,&quot;M&quot;"/>
    <numFmt numFmtId="168" formatCode="0.000%"/>
    <numFmt numFmtId="169" formatCode="0.0%"/>
    <numFmt numFmtId="170" formatCode="mmm d, yyyy"/>
    <numFmt numFmtId="171" formatCode="#,##0;[Red](#,##0);-"/>
    <numFmt numFmtId="172" formatCode="$#,##0"/>
    <numFmt numFmtId="173" formatCode="$0.0,,&quot;M&quot;"/>
    <numFmt numFmtId="174" formatCode="0.0"/>
    <numFmt numFmtId="175" formatCode="€#,##0"/>
    <numFmt numFmtId="176" formatCode="&quot;M&quot;0"/>
    <numFmt numFmtId="177" formatCode="0.0000&quot;x&quot;"/>
    <numFmt numFmtId="178" formatCode="+0;-0;0"/>
  </numFmts>
  <fonts count="72">
    <font>
      <sz val="10.0"/>
      <color rgb="FF000000"/>
      <name val="Calibri"/>
      <scheme val="minor"/>
    </font>
    <font>
      <b/>
      <sz val="16.0"/>
      <color rgb="FFFFFFFF"/>
      <name val="Arial"/>
    </font>
    <font>
      <b/>
      <sz val="12.0"/>
      <color rgb="FFFFFFFF"/>
      <name val="Calibri"/>
      <scheme val="minor"/>
    </font>
    <font>
      <i/>
      <sz val="10.0"/>
      <color rgb="FF0B1F33"/>
      <name val="Arial"/>
    </font>
    <font>
      <sz val="10.0"/>
      <color rgb="FF000000"/>
      <name val="Arial"/>
    </font>
    <font>
      <b/>
      <color rgb="FFFFFFFF"/>
      <name val="Calibri"/>
      <scheme val="minor"/>
    </font>
    <font>
      <color theme="1"/>
      <name val="Calibri"/>
      <scheme val="minor"/>
    </font>
    <font>
      <sz val="11.0"/>
      <color theme="1"/>
      <name val="Calibri"/>
    </font>
    <font>
      <i/>
      <sz val="10.0"/>
      <color rgb="FFBF9000"/>
      <name val="Arial"/>
    </font>
    <font>
      <b/>
      <sz val="11.0"/>
      <color theme="1"/>
      <name val="Calibri"/>
    </font>
    <font>
      <i/>
      <color theme="1"/>
      <name val="Calibri"/>
      <scheme val="minor"/>
    </font>
    <font>
      <b/>
      <color rgb="FF93C47D"/>
      <name val="Calibri"/>
      <scheme val="minor"/>
    </font>
    <font>
      <sz val="10.0"/>
      <color rgb="FF0000FF"/>
      <name val="Arial"/>
    </font>
    <font>
      <b/>
      <sz val="10.0"/>
      <color rgb="FFFFFFFF"/>
      <name val="Calibri"/>
    </font>
    <font>
      <b/>
      <sz val="10.0"/>
      <color rgb="FFFFFFFF"/>
      <name val="Calibri"/>
      <scheme val="minor"/>
    </font>
    <font>
      <b/>
      <sz val="10.0"/>
      <color rgb="FF1F3864"/>
      <name val="Calibri"/>
      <scheme val="minor"/>
    </font>
    <font>
      <sz val="10.0"/>
      <color rgb="FF000000"/>
      <name val="Calibri"/>
    </font>
    <font>
      <b/>
      <color rgb="FF0B1F33"/>
      <name val="Calibri"/>
      <scheme val="minor"/>
    </font>
    <font>
      <sz val="11.0"/>
      <color rgb="FF666666"/>
      <name val="Calibri"/>
    </font>
    <font>
      <b/>
      <sz val="10.0"/>
      <color theme="1"/>
      <name val="Calibri"/>
      <scheme val="minor"/>
    </font>
    <font>
      <b/>
      <color theme="1"/>
      <name val="Calibri"/>
      <scheme val="minor"/>
    </font>
    <font>
      <b/>
      <sz val="15.0"/>
      <color rgb="FFFFFFFF"/>
      <name val="Calibri"/>
    </font>
    <font>
      <i/>
      <sz val="10.0"/>
      <color rgb="FF1F3864"/>
      <name val="Calibri"/>
    </font>
    <font>
      <i/>
      <sz val="9.0"/>
      <color rgb="FF5B4B00"/>
      <name val="Calibri"/>
    </font>
    <font>
      <sz val="10.0"/>
      <color rgb="FF1F1F1F"/>
      <name val="Calibri"/>
    </font>
    <font/>
    <font>
      <b/>
      <sz val="11.0"/>
      <color rgb="FFFFFFFF"/>
      <name val="Calibri"/>
    </font>
    <font>
      <sz val="11.0"/>
      <color rgb="FFD9D9D9"/>
      <name val="Calibri"/>
    </font>
    <font>
      <sz val="10.0"/>
      <color rgb="FF008000"/>
      <name val="Arial"/>
    </font>
    <font>
      <sz val="11.0"/>
      <color rgb="FFFFFFFF"/>
      <name val="Calibri"/>
    </font>
    <font>
      <sz val="11.0"/>
      <color rgb="FFCCCCCC"/>
      <name val="Calibri"/>
    </font>
    <font>
      <b/>
      <color rgb="FFD9D9D9"/>
      <name val="Calibri"/>
      <scheme val="minor"/>
    </font>
    <font>
      <i/>
      <sz val="10.0"/>
      <color rgb="FF1F1F1F"/>
      <name val="Calibri"/>
    </font>
    <font>
      <i/>
      <sz val="9.0"/>
      <color rgb="FF595959"/>
      <name val="Calibri"/>
      <scheme val="minor"/>
    </font>
    <font>
      <i/>
      <sz val="10.0"/>
      <color rgb="FF073763"/>
      <name val="Arial"/>
    </font>
    <font>
      <sz val="11.0"/>
      <color rgb="FF434343"/>
      <name val="Calibri"/>
    </font>
    <font>
      <i/>
      <sz val="10.0"/>
      <color theme="1"/>
      <name val="Calibri"/>
      <scheme val="minor"/>
    </font>
    <font>
      <sz val="10.0"/>
      <color rgb="FFFFFFFF"/>
      <name val="Calibri"/>
    </font>
    <font>
      <b/>
      <sz val="10.0"/>
      <color rgb="FF1F1F1F"/>
      <name val="Calibri"/>
    </font>
    <font>
      <b/>
      <color rgb="FF000000"/>
      <name val="Calibri"/>
      <scheme val="minor"/>
    </font>
    <font>
      <b/>
      <color rgb="FFF3F3F3"/>
      <name val="Calibri"/>
      <scheme val="minor"/>
    </font>
    <font>
      <b/>
      <color rgb="FF1F1F1F"/>
      <name val="Calibri"/>
      <scheme val="minor"/>
    </font>
    <font>
      <b/>
      <color rgb="FFFFFF00"/>
      <name val="Calibri"/>
      <scheme val="minor"/>
    </font>
    <font>
      <color theme="1"/>
      <name val="Calibri"/>
    </font>
    <font>
      <b/>
      <i/>
      <color theme="1"/>
      <name val="Calibri"/>
      <scheme val="minor"/>
    </font>
    <font>
      <i/>
      <color rgb="FF6AA84F"/>
      <name val="Calibri"/>
      <scheme val="minor"/>
    </font>
    <font>
      <color rgb="FF6AA84F"/>
      <name val="Calibri"/>
      <scheme val="minor"/>
    </font>
    <font>
      <color rgb="FF93C47D"/>
      <name val="Calibri"/>
      <scheme val="minor"/>
    </font>
    <font>
      <sz val="11.0"/>
      <color rgb="FFFFFF00"/>
      <name val="Calibri"/>
    </font>
    <font>
      <sz val="11.0"/>
      <color rgb="FFF3F3F3"/>
      <name val="Calibri"/>
    </font>
    <font>
      <b/>
      <sz val="10.0"/>
      <color rgb="FFEFEFEF"/>
      <name val="Calibri"/>
    </font>
    <font>
      <sz val="11.0"/>
      <color rgb="FF7F6000"/>
      <name val="Calibri"/>
    </font>
    <font>
      <sz val="11.0"/>
      <color rgb="FF999999"/>
      <name val="Calibri"/>
    </font>
    <font>
      <b/>
      <color rgb="FF1F3864"/>
      <name val="Calibri"/>
      <scheme val="minor"/>
    </font>
    <font>
      <i/>
      <sz val="9.0"/>
      <color rgb="FF5B4B00"/>
      <name val="Calibri"/>
      <scheme val="minor"/>
    </font>
    <font>
      <i/>
      <sz val="11.0"/>
      <color rgb="FFFFFFFF"/>
      <name val="Calibri"/>
    </font>
    <font>
      <sz val="11.0"/>
      <color rgb="FFEFEFEF"/>
      <name val="Calibri"/>
    </font>
    <font>
      <i/>
      <color theme="1"/>
      <name val="Calibri"/>
    </font>
    <font>
      <b/>
      <sz val="11.0"/>
      <color rgb="FFFFFFFF"/>
      <name val="Calibri"/>
      <scheme val="minor"/>
    </font>
    <font>
      <b/>
      <sz val="12.0"/>
      <color theme="1"/>
      <name val="Calibri"/>
      <scheme val="minor"/>
    </font>
    <font>
      <b/>
      <sz val="9.0"/>
      <color rgb="FFFFFFFF"/>
      <name val="Calibri"/>
    </font>
    <font>
      <b/>
      <sz val="11.0"/>
      <color rgb="FFFFFF00"/>
      <name val="Calibri"/>
      <scheme val="minor"/>
    </font>
    <font>
      <b/>
      <sz val="12.0"/>
      <color rgb="FF1F3864"/>
      <name val="Calibri"/>
      <scheme val="minor"/>
    </font>
    <font>
      <b/>
      <i/>
      <color rgb="FF1F3864"/>
      <name val="Calibri"/>
    </font>
    <font>
      <b/>
      <i/>
      <sz val="10.0"/>
      <color rgb="FF1F3864"/>
      <name val="Calibri"/>
      <scheme val="minor"/>
    </font>
    <font>
      <i/>
      <sz val="10.0"/>
      <color rgb="FF000000"/>
      <name val="Calibri"/>
    </font>
    <font>
      <i/>
      <sz val="10.0"/>
      <color rgb="FF000000"/>
      <name val="Calibri"/>
      <scheme val="minor"/>
    </font>
    <font>
      <color rgb="FF1F4E79"/>
      <name val="Calibri"/>
      <scheme val="minor"/>
    </font>
    <font>
      <b/>
      <color rgb="FF1155CC"/>
      <name val="Calibri"/>
      <scheme val="minor"/>
    </font>
    <font>
      <b/>
      <color rgb="FFFFFFFF"/>
      <name val="Calibri"/>
    </font>
    <font>
      <sz val="11.0"/>
      <color rgb="FF000000"/>
      <name val="Calibri"/>
    </font>
    <font>
      <b/>
      <sz val="10.0"/>
      <color rgb="FF1F3864"/>
      <name val="Calibri"/>
    </font>
  </fonts>
  <fills count="65">
    <fill>
      <patternFill patternType="none"/>
    </fill>
    <fill>
      <patternFill patternType="lightGray"/>
    </fill>
    <fill>
      <patternFill patternType="solid">
        <fgColor rgb="FF0B1F33"/>
        <bgColor rgb="FF0B1F33"/>
      </patternFill>
    </fill>
    <fill>
      <patternFill patternType="solid">
        <fgColor rgb="FF1F3864"/>
        <bgColor rgb="FF1F3864"/>
      </patternFill>
    </fill>
    <fill>
      <patternFill patternType="solid">
        <fgColor rgb="FF00FFFF"/>
        <bgColor rgb="FF00FFFF"/>
      </patternFill>
    </fill>
    <fill>
      <patternFill patternType="solid">
        <fgColor rgb="FFFFFFFF"/>
        <bgColor rgb="FFFFFFFF"/>
      </patternFill>
    </fill>
    <fill>
      <patternFill patternType="solid">
        <fgColor rgb="FF1F4E78"/>
        <bgColor rgb="FF1F4E78"/>
      </patternFill>
    </fill>
    <fill>
      <patternFill patternType="solid">
        <fgColor rgb="FFF3F3F3"/>
        <bgColor rgb="FFF3F3F3"/>
      </patternFill>
    </fill>
    <fill>
      <patternFill patternType="solid">
        <fgColor rgb="FFFFC000"/>
        <bgColor rgb="FFFFC000"/>
      </patternFill>
    </fill>
    <fill>
      <patternFill patternType="solid">
        <fgColor rgb="FFFFD966"/>
        <bgColor rgb="FFFFD966"/>
      </patternFill>
    </fill>
    <fill>
      <patternFill patternType="solid">
        <fgColor rgb="FFD9E4EA"/>
        <bgColor rgb="FFD9E4EA"/>
      </patternFill>
    </fill>
    <fill>
      <patternFill patternType="solid">
        <fgColor rgb="FFFFF2CC"/>
        <bgColor rgb="FFFFF2CC"/>
      </patternFill>
    </fill>
    <fill>
      <patternFill patternType="solid">
        <fgColor rgb="FFD9EAF7"/>
        <bgColor rgb="FFD9EAF7"/>
      </patternFill>
    </fill>
    <fill>
      <patternFill patternType="solid">
        <fgColor rgb="FF4472C4"/>
        <bgColor rgb="FF4472C4"/>
      </patternFill>
    </fill>
    <fill>
      <patternFill patternType="solid">
        <fgColor rgb="FFFFE599"/>
        <bgColor rgb="FFFFE599"/>
      </patternFill>
    </fill>
    <fill>
      <patternFill patternType="solid">
        <fgColor rgb="FFF7FAFD"/>
        <bgColor rgb="FFF7FAFD"/>
      </patternFill>
    </fill>
    <fill>
      <patternFill patternType="solid">
        <fgColor rgb="FFCFE2F3"/>
        <bgColor rgb="FFCFE2F3"/>
      </patternFill>
    </fill>
    <fill>
      <patternFill patternType="solid">
        <fgColor rgb="FFF4CCCC"/>
        <bgColor rgb="FFF4CCCC"/>
      </patternFill>
    </fill>
    <fill>
      <patternFill patternType="solid">
        <fgColor rgb="FFF7F9FD"/>
        <bgColor rgb="FFF7F9FD"/>
      </patternFill>
    </fill>
    <fill>
      <patternFill patternType="solid">
        <fgColor rgb="FFD9D2E9"/>
        <bgColor rgb="FFD9D2E9"/>
      </patternFill>
    </fill>
    <fill>
      <patternFill patternType="solid">
        <fgColor rgb="FF9FC5E8"/>
        <bgColor rgb="FF9FC5E8"/>
      </patternFill>
    </fill>
    <fill>
      <patternFill patternType="solid">
        <fgColor rgb="FFFFF8E1"/>
        <bgColor rgb="FFFFF8E1"/>
      </patternFill>
    </fill>
    <fill>
      <patternFill patternType="solid">
        <fgColor rgb="FFE8F2F7"/>
        <bgColor rgb="FFE8F2F7"/>
      </patternFill>
    </fill>
    <fill>
      <patternFill patternType="solid">
        <fgColor rgb="FF70AD47"/>
        <bgColor rgb="FF70AD47"/>
      </patternFill>
    </fill>
    <fill>
      <patternFill patternType="solid">
        <fgColor rgb="FFF2F2F2"/>
        <bgColor rgb="FFF2F2F2"/>
      </patternFill>
    </fill>
    <fill>
      <patternFill patternType="solid">
        <fgColor rgb="FFD9EAD3"/>
        <bgColor rgb="FFD9EAD3"/>
      </patternFill>
    </fill>
    <fill>
      <patternFill patternType="solid">
        <fgColor rgb="FFB6D7A8"/>
        <bgColor rgb="FFB6D7A8"/>
      </patternFill>
    </fill>
    <fill>
      <patternFill patternType="solid">
        <fgColor rgb="FFFFF2A6"/>
        <bgColor rgb="FFFFF2A6"/>
      </patternFill>
    </fill>
    <fill>
      <patternFill patternType="solid">
        <fgColor rgb="FFFF6347"/>
        <bgColor rgb="FFFF6347"/>
      </patternFill>
    </fill>
    <fill>
      <patternFill patternType="solid">
        <fgColor rgb="FFC9DAF8"/>
        <bgColor rgb="FFC9DAF8"/>
      </patternFill>
    </fill>
    <fill>
      <patternFill patternType="solid">
        <fgColor rgb="FF6D9EEB"/>
        <bgColor rgb="FF6D9EEB"/>
      </patternFill>
    </fill>
    <fill>
      <patternFill patternType="solid">
        <fgColor rgb="FFEFEFEF"/>
        <bgColor rgb="FFEFEFEF"/>
      </patternFill>
    </fill>
    <fill>
      <patternFill patternType="solid">
        <fgColor rgb="FFA51B00"/>
        <bgColor rgb="FFA51B00"/>
      </patternFill>
    </fill>
    <fill>
      <patternFill patternType="solid">
        <fgColor rgb="FFEA9999"/>
        <bgColor rgb="FFEA9999"/>
      </patternFill>
    </fill>
    <fill>
      <patternFill patternType="solid">
        <fgColor rgb="FFE6B8AF"/>
        <bgColor rgb="FFE6B8AF"/>
      </patternFill>
    </fill>
    <fill>
      <patternFill patternType="solid">
        <fgColor rgb="FF00FF00"/>
        <bgColor rgb="FF00FF00"/>
      </patternFill>
    </fill>
    <fill>
      <patternFill patternType="solid">
        <fgColor rgb="FFD9E2F3"/>
        <bgColor rgb="FFD9E2F3"/>
      </patternFill>
    </fill>
    <fill>
      <patternFill patternType="solid">
        <fgColor rgb="FFA4C2F4"/>
        <bgColor rgb="FFA4C2F4"/>
      </patternFill>
    </fill>
    <fill>
      <patternFill patternType="solid">
        <fgColor rgb="FFEDEDED"/>
        <bgColor rgb="FFEDEDED"/>
      </patternFill>
    </fill>
    <fill>
      <patternFill patternType="solid">
        <fgColor rgb="FFEEF6EE"/>
        <bgColor rgb="FFEEF6EE"/>
      </patternFill>
    </fill>
    <fill>
      <patternFill patternType="solid">
        <fgColor rgb="FFC27BA0"/>
        <bgColor rgb="FFC27BA0"/>
      </patternFill>
    </fill>
    <fill>
      <patternFill patternType="solid">
        <fgColor rgb="FFEAD1DC"/>
        <bgColor rgb="FFEAD1DC"/>
      </patternFill>
    </fill>
    <fill>
      <patternFill patternType="solid">
        <fgColor rgb="FFE5F2FF"/>
        <bgColor rgb="FFE5F2FF"/>
      </patternFill>
    </fill>
    <fill>
      <patternFill patternType="solid">
        <fgColor rgb="FFD0E0E3"/>
        <bgColor rgb="FFD0E0E3"/>
      </patternFill>
    </fill>
    <fill>
      <patternFill patternType="solid">
        <fgColor rgb="FF93C47D"/>
        <bgColor rgb="FF93C47D"/>
      </patternFill>
    </fill>
    <fill>
      <patternFill patternType="solid">
        <fgColor rgb="FFF6B26B"/>
        <bgColor rgb="FFF6B26B"/>
      </patternFill>
    </fill>
    <fill>
      <patternFill patternType="solid">
        <fgColor rgb="FFEAF2F8"/>
        <bgColor rgb="FFEAF2F8"/>
      </patternFill>
    </fill>
    <fill>
      <patternFill patternType="solid">
        <fgColor rgb="FF0000FF"/>
        <bgColor rgb="FF0000FF"/>
      </patternFill>
    </fill>
    <fill>
      <patternFill patternType="solid">
        <fgColor rgb="FFD5A6BD"/>
        <bgColor rgb="FFD5A6BD"/>
      </patternFill>
    </fill>
    <fill>
      <patternFill patternType="solid">
        <fgColor rgb="FF6AA84F"/>
        <bgColor rgb="FF6AA84F"/>
      </patternFill>
    </fill>
    <fill>
      <patternFill patternType="solid">
        <fgColor rgb="FFE06666"/>
        <bgColor rgb="FFE06666"/>
      </patternFill>
    </fill>
    <fill>
      <patternFill patternType="solid">
        <fgColor theme="4"/>
        <bgColor theme="4"/>
      </patternFill>
    </fill>
    <fill>
      <patternFill patternType="solid">
        <fgColor rgb="FFFCE5CD"/>
        <bgColor rgb="FFFCE5CD"/>
      </patternFill>
    </fill>
    <fill>
      <patternFill patternType="solid">
        <fgColor rgb="FF3C78D8"/>
        <bgColor rgb="FF3C78D8"/>
      </patternFill>
    </fill>
    <fill>
      <patternFill patternType="solid">
        <fgColor rgb="FFDD7E6B"/>
        <bgColor rgb="FFDD7E6B"/>
      </patternFill>
    </fill>
    <fill>
      <patternFill patternType="solid">
        <fgColor rgb="FFCC0000"/>
        <bgColor rgb="FFCC0000"/>
      </patternFill>
    </fill>
    <fill>
      <patternFill patternType="solid">
        <fgColor rgb="FFF9CB9C"/>
        <bgColor rgb="FFF9CB9C"/>
      </patternFill>
    </fill>
    <fill>
      <patternFill patternType="solid">
        <fgColor rgb="FF8E7CC3"/>
        <bgColor rgb="FF8E7CC3"/>
      </patternFill>
    </fill>
    <fill>
      <patternFill patternType="solid">
        <fgColor rgb="FFB4A7D6"/>
        <bgColor rgb="FFB4A7D6"/>
      </patternFill>
    </fill>
    <fill>
      <patternFill patternType="solid">
        <fgColor theme="8"/>
        <bgColor theme="8"/>
      </patternFill>
    </fill>
    <fill>
      <patternFill patternType="solid">
        <fgColor rgb="FFE5F9E8"/>
        <bgColor rgb="FFE5F9E8"/>
      </patternFill>
    </fill>
    <fill>
      <patternFill patternType="solid">
        <fgColor rgb="FFFF0000"/>
        <bgColor rgb="FFFF0000"/>
      </patternFill>
    </fill>
    <fill>
      <patternFill patternType="solid">
        <fgColor rgb="FF4BACC6"/>
        <bgColor rgb="FF4BACC6"/>
      </patternFill>
    </fill>
    <fill>
      <patternFill patternType="solid">
        <fgColor rgb="FF666666"/>
        <bgColor rgb="FF666666"/>
      </patternFill>
    </fill>
    <fill>
      <patternFill patternType="solid">
        <fgColor rgb="FFEAF4E8"/>
        <bgColor rgb="FFEAF4E8"/>
      </patternFill>
    </fill>
  </fills>
  <borders count="108">
    <border/>
    <border>
      <left style="medium">
        <color rgb="FF000000"/>
      </left>
      <top style="medium">
        <color rgb="FF000000"/>
      </top>
    </border>
    <border>
      <left style="thin">
        <color rgb="FF000000"/>
      </left>
      <right style="thin">
        <color rgb="FF000000"/>
      </right>
      <top style="medium">
        <color rgb="FF000000"/>
      </top>
    </border>
    <border>
      <top style="medium">
        <color rgb="FF000000"/>
      </top>
    </border>
    <border>
      <right style="medium">
        <color rgb="FF000000"/>
      </right>
      <top style="medium">
        <color rgb="FF000000"/>
      </top>
    </border>
    <border>
      <left style="medium">
        <color rgb="FF000000"/>
      </left>
    </border>
    <border>
      <left style="thin">
        <color rgb="FF000000"/>
      </left>
      <right style="thin">
        <color rgb="FF000000"/>
      </right>
    </border>
    <border>
      <right style="medium">
        <color rgb="FF000000"/>
      </right>
    </border>
    <border>
      <left style="medium">
        <color rgb="FF000000"/>
      </left>
      <right/>
      <top style="medium">
        <color rgb="FF000000"/>
      </top>
    </border>
    <border>
      <left/>
      <right/>
      <top style="medium">
        <color rgb="FF000000"/>
      </top>
    </border>
    <border>
      <left/>
      <right style="medium">
        <color rgb="FF000000"/>
      </right>
      <top style="medium">
        <color rgb="FF000000"/>
      </top>
    </border>
    <border>
      <left style="thin">
        <color rgb="FF000000"/>
      </left>
      <right style="thin">
        <color rgb="FF000000"/>
      </right>
      <top style="thin">
        <color rgb="FF000000"/>
      </top>
      <bottom style="thin">
        <color rgb="FF000000"/>
      </bottom>
    </border>
    <border>
      <left style="medium">
        <color rgb="FF000000"/>
      </left>
      <bottom style="medium">
        <color rgb="FF000000"/>
      </bottom>
    </border>
    <border>
      <left style="thin">
        <color rgb="FF000000"/>
      </left>
      <right style="thin">
        <color rgb="FF000000"/>
      </right>
      <bottom style="medium">
        <color rgb="FF000000"/>
      </bottom>
    </border>
    <border>
      <left style="thin">
        <color rgb="FF000000"/>
      </left>
      <top style="thin">
        <color rgb="FF000000"/>
      </top>
      <bottom style="thin">
        <color rgb="FF000000"/>
      </bottom>
    </border>
    <border>
      <bottom style="medium">
        <color rgb="FF000000"/>
      </bottom>
    </border>
    <border>
      <right style="medium">
        <color rgb="FF000000"/>
      </right>
      <bottom style="medium">
        <color rgb="FF000000"/>
      </bottom>
    </border>
    <border>
      <bottom style="thin">
        <color rgb="FF0B1F33"/>
      </bottom>
    </border>
    <border>
      <left style="thick">
        <color rgb="FF000000"/>
      </left>
      <right style="thick">
        <color rgb="FF000000"/>
      </right>
      <top style="thick">
        <color rgb="FF000000"/>
      </top>
      <bottom style="thin">
        <color rgb="FF000000"/>
      </bottom>
    </border>
    <border>
      <left style="medium">
        <color rgb="FF000000"/>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right style="thick">
        <color rgb="FF000000"/>
      </right>
      <top style="thick">
        <color rgb="FF000000"/>
      </top>
      <bottom style="thin">
        <color rgb="FF000000"/>
      </bottom>
    </border>
    <border>
      <right style="thin">
        <color rgb="FF000000"/>
      </right>
      <top style="thin">
        <color rgb="FF000000"/>
      </top>
      <bottom style="thin">
        <color rgb="FF000000"/>
      </bottom>
    </border>
    <border>
      <left style="thin">
        <color rgb="FFBFBFBF"/>
      </left>
      <top style="thin">
        <color rgb="FFBFBFBF"/>
      </top>
      <bottom style="thin">
        <color rgb="FFBFBFBF"/>
      </bottom>
    </border>
    <border>
      <left style="medium">
        <color rgb="FF000000"/>
      </left>
      <top style="medium">
        <color rgb="FF000000"/>
      </top>
      <bottom style="medium">
        <color rgb="FF000000"/>
      </bottom>
    </border>
    <border>
      <top style="medium">
        <color rgb="FF000000"/>
      </top>
      <bottom style="medium">
        <color rgb="FF000000"/>
      </bottom>
    </border>
    <border>
      <left style="thin">
        <color rgb="FFBFBFBF"/>
      </left>
      <right style="medium">
        <color rgb="FF000000"/>
      </right>
      <top style="thin">
        <color rgb="FFBFBFBF"/>
      </top>
      <bottom style="thin">
        <color rgb="FFBFBFBF"/>
      </bottom>
    </border>
    <border>
      <left style="thick">
        <color rgb="FF000000"/>
      </left>
      <right style="thick">
        <color rgb="FF000000"/>
      </right>
      <top style="thin">
        <color rgb="FF000000"/>
      </top>
      <bottom style="thin">
        <color rgb="FF000000"/>
      </bottom>
    </border>
    <border>
      <right style="thick">
        <color rgb="FF000000"/>
      </right>
      <top style="thin">
        <color rgb="FF000000"/>
      </top>
      <bottom style="thin">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B1F33"/>
      </bottom>
    </border>
    <border>
      <top style="medium">
        <color rgb="FF000000"/>
      </top>
      <bottom style="thin">
        <color rgb="FF0B1F33"/>
      </bottom>
    </border>
    <border>
      <right style="medium">
        <color rgb="FF000000"/>
      </right>
      <top style="medium">
        <color rgb="FF000000"/>
      </top>
      <bottom style="thin">
        <color rgb="FF0B1F33"/>
      </bottom>
    </border>
    <border>
      <left style="thin">
        <color rgb="FF000000"/>
      </left>
      <right style="thin">
        <color rgb="FF000000"/>
      </right>
      <top style="thin">
        <color rgb="FF000000"/>
      </top>
      <bottom style="thin">
        <color rgb="FFD9E1F2"/>
      </bottom>
    </border>
    <border>
      <right style="thin">
        <color rgb="FFD9E1F2"/>
      </right>
      <top style="thin">
        <color rgb="FF000000"/>
      </top>
      <bottom style="thin">
        <color rgb="FFD9E1F2"/>
      </bottom>
    </border>
    <border>
      <left style="thin">
        <color rgb="FFD9E1F2"/>
      </left>
      <right style="thin">
        <color rgb="FF000000"/>
      </right>
      <top style="thin">
        <color rgb="FF000000"/>
      </top>
      <bottom style="thin">
        <color rgb="FFD9E1F2"/>
      </bottom>
    </border>
    <border>
      <left style="thin">
        <color rgb="FFD9E1F2"/>
      </left>
      <right style="thin">
        <color rgb="FFD9E1F2"/>
      </right>
      <top style="thin">
        <color rgb="FF000000"/>
      </top>
      <bottom style="thin">
        <color rgb="FFD9E1F2"/>
      </bottom>
    </border>
    <border>
      <left style="thin">
        <color rgb="FF000000"/>
      </left>
      <right style="thin">
        <color rgb="FF000000"/>
      </right>
      <top style="thin">
        <color rgb="FFD9E1F2"/>
      </top>
      <bottom style="thin">
        <color rgb="FFD9E1F2"/>
      </bottom>
    </border>
    <border>
      <right style="thin">
        <color rgb="FFD9E1F2"/>
      </right>
      <top style="thin">
        <color rgb="FFD9E1F2"/>
      </top>
      <bottom style="thin">
        <color rgb="FFD9E1F2"/>
      </bottom>
    </border>
    <border>
      <left style="thin">
        <color rgb="FFD9E1F2"/>
      </left>
      <right style="thin">
        <color rgb="FF000000"/>
      </right>
      <top style="thin">
        <color rgb="FFD9E1F2"/>
      </top>
      <bottom style="thin">
        <color rgb="FFD9E1F2"/>
      </bottom>
    </border>
    <border>
      <left style="thin">
        <color rgb="FFD9E1F2"/>
      </left>
      <right style="thin">
        <color rgb="FFD9E1F2"/>
      </right>
      <top style="thin">
        <color rgb="FFD9E1F2"/>
      </top>
      <bottom style="thin">
        <color rgb="FFD9E1F2"/>
      </bottom>
    </border>
    <border>
      <left style="thin">
        <color rgb="FF000000"/>
      </left>
      <right style="thin">
        <color rgb="FF000000"/>
      </right>
      <top style="thin">
        <color rgb="FFD8E0F2"/>
      </top>
      <bottom style="thin">
        <color rgb="FFD8E0F2"/>
      </bottom>
    </border>
    <border>
      <right style="thin">
        <color rgb="FFD8E0F2"/>
      </right>
      <top style="thin">
        <color rgb="FFD8E0F2"/>
      </top>
      <bottom style="thin">
        <color rgb="FFD8E0F2"/>
      </bottom>
    </border>
    <border>
      <left style="thin">
        <color rgb="FFD8E0F2"/>
      </left>
      <right style="thin">
        <color rgb="FF000000"/>
      </right>
      <top style="thin">
        <color rgb="FFD8E0F2"/>
      </top>
      <bottom style="thin">
        <color rgb="FFD8E0F2"/>
      </bottom>
    </border>
    <border>
      <left style="thin">
        <color rgb="FFD8E0F2"/>
      </left>
      <right style="thin">
        <color rgb="FFD8E0F2"/>
      </right>
      <top style="thin">
        <color rgb="FFD8E0F2"/>
      </top>
      <bottom style="thin">
        <color rgb="FFD8E0F2"/>
      </bottom>
    </border>
    <border>
      <left style="thin">
        <color rgb="FF000000"/>
      </left>
      <right style="thin">
        <color rgb="FF000000"/>
      </right>
      <top style="thin">
        <color rgb="FFD8E0F2"/>
      </top>
      <bottom style="thin">
        <color rgb="FF000000"/>
      </bottom>
    </border>
    <border>
      <right style="thin">
        <color rgb="FFD8E0F2"/>
      </right>
      <top style="thin">
        <color rgb="FFD8E0F2"/>
      </top>
      <bottom style="thin">
        <color rgb="FF000000"/>
      </bottom>
    </border>
    <border>
      <left style="thin">
        <color rgb="FFD8E0F2"/>
      </left>
      <right style="thin">
        <color rgb="FF000000"/>
      </right>
      <top style="thin">
        <color rgb="FFD8E0F2"/>
      </top>
      <bottom style="thin">
        <color rgb="FF000000"/>
      </bottom>
    </border>
    <border>
      <left style="thin">
        <color rgb="FFD8E0F2"/>
      </left>
      <right style="thin">
        <color rgb="FFD8E0F2"/>
      </right>
      <top style="thin">
        <color rgb="FFD8E0F2"/>
      </top>
      <bottom style="thin">
        <color rgb="FF000000"/>
      </bottom>
    </border>
    <border>
      <left style="thin">
        <color rgb="FF000000"/>
      </left>
      <right style="thin">
        <color rgb="FFD9E1F2"/>
      </right>
      <top style="thin">
        <color rgb="FF000000"/>
      </top>
      <bottom style="thin">
        <color rgb="FFD9E1F2"/>
      </bottom>
    </border>
    <border>
      <left style="thin">
        <color rgb="FF000000"/>
      </left>
      <right style="thin">
        <color rgb="FFD9E1F2"/>
      </right>
      <top style="thin">
        <color rgb="FFD9E1F2"/>
      </top>
    </border>
    <border>
      <left style="thin">
        <color rgb="FFD9E1F2"/>
      </left>
      <right style="thin">
        <color rgb="FFD9E1F2"/>
      </right>
      <top style="thin">
        <color rgb="FFD9E1F2"/>
      </top>
    </border>
    <border>
      <left style="thin">
        <color rgb="FFD9E1F2"/>
      </left>
      <right style="thin">
        <color rgb="FF000000"/>
      </right>
      <top style="thin">
        <color rgb="FFD9E1F2"/>
      </top>
    </border>
    <border>
      <left style="thin">
        <color rgb="FF000000"/>
      </left>
      <right style="thin">
        <color rgb="FFD9E1F2"/>
      </right>
      <top style="thin">
        <color rgb="FF000000"/>
      </top>
      <bottom style="thin">
        <color rgb="FF000000"/>
      </bottom>
    </border>
    <border>
      <left style="thin">
        <color rgb="FFD9E1F2"/>
      </left>
      <right style="thin">
        <color rgb="FFD9E1F2"/>
      </right>
      <top style="thin">
        <color rgb="FF000000"/>
      </top>
      <bottom style="thin">
        <color rgb="FF000000"/>
      </bottom>
    </border>
    <border>
      <left style="thin">
        <color rgb="FFD9E1F2"/>
      </left>
      <right style="thin">
        <color rgb="FF000000"/>
      </right>
      <top style="thin">
        <color rgb="FF000000"/>
      </top>
      <bottom style="thin">
        <color rgb="FF000000"/>
      </bottom>
    </border>
    <border>
      <left style="thin">
        <color rgb="FFD9E1F2"/>
      </left>
      <top style="thin">
        <color rgb="FFD9E1F2"/>
      </top>
    </border>
    <border>
      <right style="thin">
        <color rgb="FF000000"/>
      </right>
      <top style="thin">
        <color rgb="FFD9E1F2"/>
      </top>
    </border>
    <border>
      <left style="thin">
        <color rgb="FF000000"/>
      </left>
      <right style="thin">
        <color rgb="FF000000"/>
      </right>
      <top style="thin">
        <color rgb="FF000000"/>
      </top>
    </border>
    <border>
      <left style="medium">
        <color rgb="FF000000"/>
      </left>
      <right style="thin">
        <color rgb="FFBFBFBF"/>
      </right>
      <top style="thin">
        <color rgb="FFBFBFBF"/>
      </top>
      <bottom style="medium">
        <color rgb="FF000000"/>
      </bottom>
    </border>
    <border>
      <left style="thin">
        <color rgb="FFBFBFBF"/>
      </left>
      <right style="thin">
        <color rgb="FFBFBFBF"/>
      </right>
      <top style="thin">
        <color rgb="FFBFBFBF"/>
      </top>
      <bottom style="medium">
        <color rgb="FF000000"/>
      </bottom>
    </border>
    <border>
      <left style="thin">
        <color rgb="FFBFBFBF"/>
      </left>
      <top style="thin">
        <color rgb="FFBFBFBF"/>
      </top>
      <bottom style="medium">
        <color rgb="FF000000"/>
      </bottom>
    </border>
    <border>
      <left style="thin">
        <color rgb="FFBFBFBF"/>
      </left>
      <right style="medium">
        <color rgb="FF000000"/>
      </right>
      <top style="thin">
        <color rgb="FFBFBFBF"/>
      </top>
      <bottom style="medium">
        <color rgb="FF000000"/>
      </bottom>
    </border>
    <border>
      <left style="thin">
        <color rgb="FFD9E1F2"/>
      </left>
      <top style="thin">
        <color rgb="FFD9E1F2"/>
      </top>
      <bottom style="thin">
        <color rgb="FF000000"/>
      </bottom>
    </border>
    <border>
      <left style="thin">
        <color rgb="FFD9E1F2"/>
      </left>
      <bottom style="thin">
        <color rgb="FF000000"/>
      </bottom>
    </border>
    <border>
      <left style="thick">
        <color rgb="FF000000"/>
      </left>
    </border>
    <border>
      <right style="thick">
        <color rgb="FF000000"/>
      </right>
    </border>
    <border>
      <left style="thin">
        <color rgb="FF000000"/>
      </left>
      <top style="thin">
        <color rgb="FF000000"/>
      </top>
    </border>
    <border>
      <left style="thick">
        <color rgb="FF000000"/>
      </left>
      <right style="thick">
        <color rgb="FF000000"/>
      </right>
      <top style="thin">
        <color rgb="FF000000"/>
      </top>
    </border>
    <border>
      <right style="thick">
        <color rgb="FF000000"/>
      </right>
      <top style="thin">
        <color rgb="FF000000"/>
      </top>
    </border>
    <border>
      <right style="thin">
        <color rgb="FF000000"/>
      </right>
      <top style="thin">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FFFFFF"/>
      </left>
      <right style="medium">
        <color rgb="FFFFFFFF"/>
      </right>
      <top style="medium">
        <color rgb="FFFFFFFF"/>
      </top>
      <bottom style="medium">
        <color rgb="FFFFFFFF"/>
      </bottom>
    </border>
    <border>
      <left style="medium">
        <color rgb="FFFFFFFF"/>
      </left>
      <right style="thin">
        <color rgb="FFFFFFFF"/>
      </right>
      <top style="medium">
        <color rgb="FFFFFFFF"/>
      </top>
      <bottom style="medium">
        <color rgb="FFFFFFFF"/>
      </bottom>
    </border>
    <border>
      <left style="thin">
        <color rgb="FFFFFFFF"/>
      </left>
      <right style="thin">
        <color rgb="FFFFFFFF"/>
      </right>
      <top style="medium">
        <color rgb="FFFFFFFF"/>
      </top>
      <bottom style="medium">
        <color rgb="FFFFFFFF"/>
      </bottom>
    </border>
    <border>
      <left style="thin">
        <color rgb="FFFFFFFF"/>
      </left>
      <top style="medium">
        <color rgb="FFFFFFFF"/>
      </top>
      <bottom style="medium">
        <color rgb="FFFFFFFF"/>
      </bottom>
    </border>
    <border>
      <left style="thick">
        <color rgb="FF000000"/>
      </left>
      <right style="thick">
        <color rgb="FF000000"/>
      </right>
      <top style="medium">
        <color rgb="FF000000"/>
      </top>
      <bottom style="medium">
        <color rgb="FFFFFFFF"/>
      </bottom>
    </border>
    <border>
      <right style="thick">
        <color rgb="FF000000"/>
      </right>
      <top style="medium">
        <color rgb="FF000000"/>
      </top>
      <bottom style="medium">
        <color rgb="FFFFFFFF"/>
      </bottom>
    </border>
    <border>
      <left style="thick">
        <color rgb="FF000000"/>
      </left>
      <bottom style="medium">
        <color rgb="FF000000"/>
      </bottom>
    </border>
    <border>
      <right style="thick">
        <color rgb="FF000000"/>
      </right>
      <bottom style="medium">
        <color rgb="FF000000"/>
      </bottom>
    </border>
    <border>
      <left style="medium">
        <color rgb="FF000000"/>
      </left>
      <right style="medium">
        <color rgb="FF000000"/>
      </right>
      <top style="medium">
        <color rgb="FF000000"/>
      </top>
      <bottom style="medium">
        <color rgb="FF000000"/>
      </bottom>
    </border>
    <border>
      <left style="thick">
        <color rgb="FF000000"/>
      </left>
      <right style="thick">
        <color rgb="FF000000"/>
      </right>
      <bottom style="thick">
        <color rgb="FF000000"/>
      </bottom>
    </border>
    <border>
      <right style="thick">
        <color rgb="FF000000"/>
      </right>
      <bottom style="thick">
        <color rgb="FF000000"/>
      </bottom>
    </border>
    <border>
      <left style="thin">
        <color rgb="FF000000"/>
      </left>
      <right style="thin">
        <color rgb="FF000000"/>
      </right>
      <bottom style="thin">
        <color rgb="FF000000"/>
      </bottom>
    </border>
    <border>
      <left style="thin">
        <color rgb="FF000000"/>
      </left>
      <right style="thin">
        <color rgb="FFFFFFFF"/>
      </right>
      <bottom style="thin">
        <color rgb="FF000000"/>
      </bottom>
    </border>
    <border>
      <right style="thin">
        <color rgb="FF000000"/>
      </right>
      <bottom style="thin">
        <color rgb="FF000000"/>
      </bottom>
    </border>
    <border>
      <left style="thin">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top style="thin">
        <color rgb="FF000000"/>
      </top>
    </border>
    <border>
      <left style="thin">
        <color rgb="FF000000"/>
      </left>
    </border>
    <border>
      <right style="thin">
        <color rgb="FF000000"/>
      </right>
    </border>
    <border>
      <left style="thin">
        <color rgb="FF000000"/>
      </left>
      <bottom style="thin">
        <color rgb="FF000000"/>
      </bottom>
    </border>
    <border>
      <left style="thin">
        <color rgb="FF000000"/>
      </left>
      <right style="thin">
        <color rgb="FFD9E1F2"/>
      </right>
      <top style="thin">
        <color rgb="FFD9E1F2"/>
      </top>
      <bottom style="thin">
        <color rgb="FFD9E1F2"/>
      </bottom>
    </border>
    <border>
      <left style="thin">
        <color rgb="FF000000"/>
      </left>
      <right style="thin">
        <color rgb="FFD9E1F2"/>
      </right>
      <top style="thin">
        <color rgb="FFD9E1F2"/>
      </top>
      <bottom style="thin">
        <color rgb="FF000000"/>
      </bottom>
    </border>
    <border>
      <left style="thin">
        <color rgb="FFD9E1F2"/>
      </left>
      <right style="thin">
        <color rgb="FFD9E1F2"/>
      </right>
      <top style="thin">
        <color rgb="FFD9E1F2"/>
      </top>
      <bottom style="thin">
        <color rgb="FF000000"/>
      </bottom>
    </border>
    <border>
      <left style="medium">
        <color rgb="FF000000"/>
      </left>
      <right style="thin">
        <color rgb="FFBFBFBF"/>
      </right>
      <top style="medium">
        <color rgb="FF000000"/>
      </top>
      <bottom style="thin">
        <color rgb="FFBFBFBF"/>
      </bottom>
    </border>
    <border>
      <left style="thin">
        <color rgb="FFD9E1F2"/>
      </left>
      <right style="thin">
        <color rgb="FF000000"/>
      </right>
      <top style="thin">
        <color rgb="FFD9E1F2"/>
      </top>
      <bottom style="thin">
        <color rgb="FF000000"/>
      </bottom>
    </border>
    <border>
      <left style="thin">
        <color rgb="FFBFBFBF"/>
      </left>
      <right style="medium">
        <color rgb="FF000000"/>
      </right>
      <top style="medium">
        <color rgb="FF000000"/>
      </top>
      <bottom style="thin">
        <color rgb="FFBFBFBF"/>
      </bottom>
    </border>
    <border>
      <left style="thin">
        <color rgb="FFBFBFBF"/>
      </left>
      <right style="thin">
        <color rgb="FFBFBFBF"/>
      </right>
      <top style="medium">
        <color rgb="FF000000"/>
      </top>
      <bottom style="thin">
        <color rgb="FFBFBFBF"/>
      </bottom>
    </border>
    <border>
      <right style="thin">
        <color rgb="FFFFFFFF"/>
      </right>
      <top style="medium">
        <color rgb="FF000000"/>
      </top>
      <bottom style="medium">
        <color rgb="FF000000"/>
      </bottom>
    </border>
    <border>
      <left style="thin">
        <color rgb="FFFFFFFF"/>
      </left>
      <right style="thin">
        <color rgb="FFFFFFFF"/>
      </right>
      <top style="medium">
        <color rgb="FF000000"/>
      </top>
      <bottom style="medium">
        <color rgb="FF000000"/>
      </bottom>
    </border>
    <border>
      <left style="thin">
        <color rgb="FFFFFFFF"/>
      </left>
      <top style="medium">
        <color rgb="FF000000"/>
      </top>
      <bottom style="medium">
        <color rgb="FF000000"/>
      </bottom>
    </border>
    <border>
      <right style="thin">
        <color rgb="FFFFFFFF"/>
      </right>
    </border>
    <border>
      <left style="thin">
        <color rgb="FFFFFFFF"/>
      </left>
      <right style="thin">
        <color rgb="FFFFFFFF"/>
      </right>
    </border>
    <border>
      <left style="thin">
        <color rgb="FFFFFFFF"/>
      </left>
    </border>
    <border>
      <left style="thin">
        <color rgb="FFD9E1F2"/>
      </left>
      <right style="thin">
        <color rgb="FFD9E1F2"/>
      </right>
      <bottom style="thin">
        <color rgb="FFD9E1F2"/>
      </bottom>
    </border>
  </borders>
  <cellStyleXfs count="1">
    <xf borderId="0" fillId="0" fontId="0" numFmtId="0" applyAlignment="1" applyFont="1"/>
  </cellStyleXfs>
  <cellXfs count="1012">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3" fontId="2" numFmtId="0" xfId="0" applyAlignment="1" applyFill="1" applyFont="1">
      <alignment readingOrder="0"/>
    </xf>
    <xf borderId="0" fillId="4" fontId="3" numFmtId="0" xfId="0" applyAlignment="1" applyFill="1" applyFont="1">
      <alignment readingOrder="0" shrinkToFit="0" vertical="center" wrapText="1"/>
    </xf>
    <xf borderId="0" fillId="3" fontId="2" numFmtId="0" xfId="0" applyFont="1"/>
    <xf borderId="0" fillId="3" fontId="2" numFmtId="0" xfId="0" applyAlignment="1" applyFont="1">
      <alignment horizontal="right" readingOrder="0"/>
    </xf>
    <xf borderId="0" fillId="0" fontId="4" numFmtId="0" xfId="0" applyAlignment="1" applyFont="1">
      <alignment shrinkToFit="0" vertical="center" wrapText="1"/>
    </xf>
    <xf borderId="0" fillId="2" fontId="5" numFmtId="0" xfId="0" applyAlignment="1" applyFont="1">
      <alignment readingOrder="0" shrinkToFit="0" vertical="center" wrapText="1"/>
    </xf>
    <xf borderId="1" fillId="0" fontId="4" numFmtId="0" xfId="0" applyAlignment="1" applyBorder="1" applyFont="1">
      <alignment horizontal="center" readingOrder="0" shrinkToFit="0" vertical="center" wrapText="1"/>
    </xf>
    <xf borderId="2" fillId="0" fontId="4" numFmtId="0" xfId="0" applyAlignment="1" applyBorder="1" applyFont="1">
      <alignment horizontal="center" readingOrder="0" shrinkToFit="0" vertical="center" wrapText="1"/>
    </xf>
    <xf borderId="0" fillId="0" fontId="6" numFmtId="0" xfId="0" applyAlignment="1" applyFont="1">
      <alignment readingOrder="0"/>
    </xf>
    <xf borderId="3" fillId="0" fontId="4" numFmtId="0" xfId="0" applyAlignment="1" applyBorder="1" applyFont="1">
      <alignment horizontal="right" readingOrder="0" shrinkToFit="0" vertical="center" wrapText="1"/>
    </xf>
    <xf borderId="0" fillId="5" fontId="6" numFmtId="0" xfId="0" applyFill="1" applyFont="1"/>
    <xf borderId="3" fillId="0" fontId="4" numFmtId="0" xfId="0" applyAlignment="1" applyBorder="1" applyFont="1">
      <alignment horizontal="left" readingOrder="0" shrinkToFit="0" vertical="center" wrapText="1"/>
    </xf>
    <xf borderId="0" fillId="5" fontId="7" numFmtId="0" xfId="0" applyAlignment="1" applyFont="1">
      <alignment horizontal="center" readingOrder="0" vertical="center"/>
    </xf>
    <xf borderId="0" fillId="6" fontId="5" numFmtId="0" xfId="0" applyAlignment="1" applyFill="1" applyFont="1">
      <alignment horizontal="center" shrinkToFit="0" vertical="center" wrapText="1"/>
    </xf>
    <xf borderId="4" fillId="0" fontId="8" numFmtId="0" xfId="0" applyAlignment="1" applyBorder="1" applyFont="1">
      <alignment horizontal="center" readingOrder="0" shrinkToFit="0" vertical="center" wrapText="1"/>
    </xf>
    <xf borderId="0" fillId="5" fontId="9" numFmtId="0" xfId="0" applyAlignment="1" applyFont="1">
      <alignment horizontal="center" readingOrder="0" vertical="center"/>
    </xf>
    <xf borderId="0" fillId="0" fontId="10" numFmtId="0" xfId="0" applyAlignment="1" applyFont="1">
      <alignment readingOrder="0"/>
    </xf>
    <xf borderId="0" fillId="6" fontId="5" numFmtId="0" xfId="0" applyAlignment="1" applyFont="1">
      <alignment horizontal="center" readingOrder="0" shrinkToFit="0" vertical="center" wrapText="1"/>
    </xf>
    <xf borderId="5" fillId="7" fontId="4" numFmtId="0" xfId="0" applyAlignment="1" applyBorder="1" applyFill="1" applyFont="1">
      <alignment horizontal="center" readingOrder="0" shrinkToFit="0" vertical="center" wrapText="1"/>
    </xf>
    <xf borderId="0" fillId="0" fontId="11" numFmtId="0" xfId="0" applyAlignment="1" applyFont="1">
      <alignment horizontal="center" readingOrder="0"/>
    </xf>
    <xf borderId="6" fillId="7" fontId="4" numFmtId="0" xfId="0" applyAlignment="1" applyBorder="1" applyFont="1">
      <alignment horizontal="center" readingOrder="0" shrinkToFit="0" vertical="center" wrapText="1"/>
    </xf>
    <xf borderId="0" fillId="5" fontId="2" numFmtId="0" xfId="0" applyAlignment="1" applyFont="1">
      <alignment readingOrder="0"/>
    </xf>
    <xf borderId="0" fillId="0" fontId="11" numFmtId="0" xfId="0" applyAlignment="1" applyFont="1">
      <alignment horizontal="left" readingOrder="0" shrinkToFit="0" wrapText="0"/>
    </xf>
    <xf borderId="0" fillId="7" fontId="4" numFmtId="0" xfId="0" applyAlignment="1" applyFont="1">
      <alignment horizontal="left" readingOrder="0" shrinkToFit="0" vertical="center" wrapText="0"/>
    </xf>
    <xf borderId="0" fillId="5" fontId="2" numFmtId="0" xfId="0" applyFont="1"/>
    <xf borderId="0" fillId="7" fontId="4" numFmtId="0" xfId="0" applyAlignment="1" applyFont="1">
      <alignment horizontal="center" shrinkToFit="0" vertical="center" wrapText="1"/>
    </xf>
    <xf borderId="7" fillId="7" fontId="4" numFmtId="0" xfId="0" applyAlignment="1" applyBorder="1" applyFont="1">
      <alignment horizontal="center" shrinkToFit="0" vertical="center" wrapText="1"/>
    </xf>
    <xf borderId="5" fillId="0" fontId="4" numFmtId="0" xfId="0" applyAlignment="1" applyBorder="1" applyFont="1">
      <alignment horizontal="center" readingOrder="0" shrinkToFit="0" vertical="center" wrapText="1"/>
    </xf>
    <xf borderId="6" fillId="0" fontId="12" numFmtId="2" xfId="0" applyAlignment="1" applyBorder="1" applyFont="1" applyNumberFormat="1">
      <alignment horizontal="center" readingOrder="0" shrinkToFit="0" vertical="center" wrapText="1"/>
    </xf>
    <xf borderId="8" fillId="6" fontId="13" numFmtId="0" xfId="0" applyAlignment="1" applyBorder="1" applyFont="1">
      <alignment horizontal="center" vertical="center"/>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9" fillId="6" fontId="13" numFmtId="0" xfId="0" applyAlignment="1" applyBorder="1" applyFont="1">
      <alignment horizontal="center" vertical="center"/>
    </xf>
    <xf borderId="0" fillId="5" fontId="5" numFmtId="0" xfId="0" applyAlignment="1" applyFont="1">
      <alignment horizontal="center" shrinkToFit="0" vertical="center" wrapText="1"/>
    </xf>
    <xf borderId="7" fillId="0" fontId="4" numFmtId="0" xfId="0" applyAlignment="1" applyBorder="1" applyFont="1">
      <alignment horizontal="center" shrinkToFit="0" vertical="center" wrapText="1"/>
    </xf>
    <xf borderId="9" fillId="6" fontId="13" numFmtId="0" xfId="0" applyAlignment="1" applyBorder="1" applyFont="1">
      <alignment horizontal="center" readingOrder="0" vertical="center"/>
    </xf>
    <xf borderId="0" fillId="5" fontId="5" numFmtId="0" xfId="0" applyAlignment="1" applyFont="1">
      <alignment horizontal="center" readingOrder="0" shrinkToFit="0" vertical="center" wrapText="1"/>
    </xf>
    <xf borderId="0" fillId="3" fontId="14" numFmtId="0" xfId="0" applyAlignment="1" applyFont="1">
      <alignment horizontal="center" shrinkToFit="0" vertical="center" wrapText="1"/>
    </xf>
    <xf borderId="9" fillId="6" fontId="13" numFmtId="0" xfId="0" applyAlignment="1" applyBorder="1" applyFont="1">
      <alignment horizontal="center" readingOrder="0" vertical="center"/>
    </xf>
    <xf borderId="6" fillId="7" fontId="4" numFmtId="164" xfId="0" applyAlignment="1" applyBorder="1" applyFont="1" applyNumberFormat="1">
      <alignment horizontal="center" shrinkToFit="0" vertical="center" wrapText="1"/>
    </xf>
    <xf borderId="10" fillId="6" fontId="13" numFmtId="0" xfId="0" applyAlignment="1" applyBorder="1" applyFont="1">
      <alignment horizontal="center" vertical="center"/>
    </xf>
    <xf borderId="11" fillId="8" fontId="7" numFmtId="0" xfId="0" applyAlignment="1" applyBorder="1" applyFill="1" applyFont="1">
      <alignment horizontal="center" vertical="center"/>
    </xf>
    <xf borderId="11" fillId="8" fontId="7" numFmtId="0" xfId="0" applyAlignment="1" applyBorder="1" applyFont="1">
      <alignment horizontal="left" vertical="center"/>
    </xf>
    <xf borderId="0" fillId="6" fontId="5" numFmtId="0" xfId="0" applyAlignment="1" applyFont="1">
      <alignment horizontal="center" readingOrder="0" shrinkToFit="0" vertical="center" wrapText="1"/>
    </xf>
    <xf borderId="11" fillId="8" fontId="7" numFmtId="0" xfId="0" applyAlignment="1" applyBorder="1" applyFont="1">
      <alignment horizontal="left" readingOrder="0" vertical="center"/>
    </xf>
    <xf borderId="6" fillId="0" fontId="4" numFmtId="165" xfId="0" applyAlignment="1" applyBorder="1" applyFont="1" applyNumberFormat="1">
      <alignment horizontal="center" shrinkToFit="0" vertical="center" wrapText="1"/>
    </xf>
    <xf borderId="11" fillId="8" fontId="7" numFmtId="4" xfId="0" applyAlignment="1" applyBorder="1" applyFont="1" applyNumberFormat="1">
      <alignment horizontal="right" readingOrder="0" vertical="center"/>
    </xf>
    <xf borderId="1" fillId="9" fontId="15" numFmtId="0" xfId="0" applyBorder="1" applyFill="1" applyFont="1"/>
    <xf borderId="11" fillId="8" fontId="7" numFmtId="4" xfId="0" applyAlignment="1" applyBorder="1" applyFont="1" applyNumberFormat="1">
      <alignment horizontal="right" vertical="center"/>
    </xf>
    <xf borderId="6" fillId="7" fontId="12" numFmtId="165" xfId="0" applyAlignment="1" applyBorder="1" applyFont="1" applyNumberFormat="1">
      <alignment horizontal="center" readingOrder="0" shrinkToFit="0" vertical="center" wrapText="1"/>
    </xf>
    <xf borderId="3" fillId="9" fontId="16" numFmtId="0" xfId="0" applyBorder="1" applyFont="1"/>
    <xf borderId="12" fillId="0" fontId="4" numFmtId="0" xfId="0" applyAlignment="1" applyBorder="1" applyFont="1">
      <alignment horizontal="center" readingOrder="0" shrinkToFit="0" vertical="center" wrapText="1"/>
    </xf>
    <xf borderId="13" fillId="0" fontId="4" numFmtId="0" xfId="0" applyAlignment="1" applyBorder="1" applyFont="1">
      <alignment horizontal="center" readingOrder="0" shrinkToFit="0" vertical="center" wrapText="1"/>
    </xf>
    <xf borderId="14" fillId="8" fontId="7" numFmtId="4" xfId="0" applyAlignment="1" applyBorder="1" applyFont="1" applyNumberFormat="1">
      <alignment horizontal="right" vertical="center"/>
    </xf>
    <xf borderId="15" fillId="0" fontId="4" numFmtId="0" xfId="0" applyAlignment="1" applyBorder="1" applyFont="1">
      <alignment horizontal="left" readingOrder="0" shrinkToFit="0" vertical="center" wrapText="0"/>
    </xf>
    <xf borderId="15" fillId="0" fontId="4" numFmtId="0" xfId="0" applyAlignment="1" applyBorder="1" applyFont="1">
      <alignment horizontal="center" shrinkToFit="0" vertical="center" wrapText="1"/>
    </xf>
    <xf borderId="16" fillId="0" fontId="4" numFmtId="0" xfId="0" applyAlignment="1" applyBorder="1" applyFont="1">
      <alignment horizontal="center" shrinkToFit="0" vertical="center" wrapText="1"/>
    </xf>
    <xf borderId="1" fillId="9" fontId="16" numFmtId="0" xfId="0" applyBorder="1" applyFont="1"/>
    <xf borderId="4" fillId="9" fontId="16" numFmtId="0" xfId="0" applyBorder="1" applyFont="1"/>
    <xf borderId="0" fillId="0" fontId="16" numFmtId="0" xfId="0" applyFont="1"/>
    <xf borderId="17" fillId="10" fontId="17" numFmtId="0" xfId="0" applyAlignment="1" applyBorder="1" applyFill="1" applyFont="1">
      <alignment horizontal="center" readingOrder="0" shrinkToFit="0" vertical="center" wrapText="1"/>
    </xf>
    <xf borderId="18" fillId="8" fontId="7" numFmtId="4" xfId="0" applyAlignment="1" applyBorder="1" applyFont="1" applyNumberFormat="1">
      <alignment horizontal="center" vertical="center"/>
    </xf>
    <xf borderId="19" fillId="11" fontId="16" numFmtId="0" xfId="0" applyBorder="1" applyFill="1" applyFont="1"/>
    <xf borderId="17" fillId="10" fontId="17" numFmtId="0" xfId="0" applyAlignment="1" applyBorder="1" applyFont="1">
      <alignment readingOrder="0" shrinkToFit="0" vertical="center" wrapText="1"/>
    </xf>
    <xf borderId="20" fillId="11" fontId="16" numFmtId="0" xfId="0" applyBorder="1" applyFont="1"/>
    <xf borderId="0" fillId="0" fontId="12" numFmtId="164" xfId="0" applyAlignment="1" applyFont="1" applyNumberFormat="1">
      <alignment horizontal="center" readingOrder="0" shrinkToFit="0" vertical="center" wrapText="1"/>
    </xf>
    <xf borderId="20" fillId="11" fontId="16" numFmtId="166" xfId="0" applyBorder="1" applyFont="1" applyNumberFormat="1"/>
    <xf borderId="21" fillId="8" fontId="7" numFmtId="4" xfId="0" applyAlignment="1" applyBorder="1" applyFont="1" applyNumberFormat="1">
      <alignment horizontal="center" vertical="center"/>
    </xf>
    <xf borderId="0" fillId="0" fontId="4" numFmtId="165" xfId="0" applyAlignment="1" applyFont="1" applyNumberFormat="1">
      <alignment horizontal="center" shrinkToFit="0" vertical="center" wrapText="1"/>
    </xf>
    <xf borderId="22" fillId="8" fontId="7" numFmtId="0" xfId="0" applyAlignment="1" applyBorder="1" applyFont="1">
      <alignment horizontal="right" vertical="center"/>
    </xf>
    <xf borderId="0" fillId="0" fontId="12" numFmtId="167" xfId="0" applyAlignment="1" applyFont="1" applyNumberFormat="1">
      <alignment horizontal="center" readingOrder="0" shrinkToFit="0" vertical="center" wrapText="1"/>
    </xf>
    <xf borderId="0" fillId="0" fontId="12" numFmtId="0" xfId="0" applyAlignment="1" applyFont="1">
      <alignment horizontal="center" readingOrder="0" shrinkToFit="0" vertical="center" wrapText="1"/>
    </xf>
    <xf borderId="11" fillId="8" fontId="18" numFmtId="0" xfId="0" applyAlignment="1" applyBorder="1" applyFont="1">
      <alignment horizontal="right" readingOrder="0" vertical="center"/>
    </xf>
    <xf borderId="0" fillId="0" fontId="12" numFmtId="0" xfId="0" applyAlignment="1" applyFont="1">
      <alignment readingOrder="0" shrinkToFit="0" vertical="center" wrapText="1"/>
    </xf>
    <xf borderId="11" fillId="8" fontId="7" numFmtId="0" xfId="0" applyAlignment="1" applyBorder="1" applyFont="1">
      <alignment horizontal="right" vertical="center"/>
    </xf>
    <xf borderId="0" fillId="7" fontId="4" numFmtId="0" xfId="0" applyAlignment="1" applyFont="1">
      <alignment horizontal="center" readingOrder="0" shrinkToFit="0" vertical="center" wrapText="1"/>
    </xf>
    <xf borderId="23" fillId="11" fontId="16" numFmtId="0" xfId="0" applyBorder="1" applyFont="1"/>
    <xf borderId="11" fillId="11" fontId="7" numFmtId="0" xfId="0" applyAlignment="1" applyBorder="1" applyFont="1">
      <alignment horizontal="left" vertical="center"/>
    </xf>
    <xf borderId="0" fillId="7" fontId="12" numFmtId="164" xfId="0" applyAlignment="1" applyFont="1" applyNumberFormat="1">
      <alignment horizontal="center" readingOrder="0" shrinkToFit="0" vertical="center" wrapText="1"/>
    </xf>
    <xf borderId="11" fillId="11" fontId="7" numFmtId="0" xfId="0" applyAlignment="1" applyBorder="1" applyFont="1">
      <alignment horizontal="left" readingOrder="0" vertical="center"/>
    </xf>
    <xf borderId="0" fillId="7" fontId="4" numFmtId="165" xfId="0" applyAlignment="1" applyFont="1" applyNumberFormat="1">
      <alignment horizontal="center" shrinkToFit="0" vertical="center" wrapText="1"/>
    </xf>
    <xf borderId="11" fillId="11" fontId="7" numFmtId="0" xfId="0" applyAlignment="1" applyBorder="1" applyFont="1">
      <alignment horizontal="center" vertical="center"/>
    </xf>
    <xf borderId="0" fillId="7" fontId="12" numFmtId="167" xfId="0" applyAlignment="1" applyFont="1" applyNumberFormat="1">
      <alignment horizontal="center" readingOrder="0" shrinkToFit="0" vertical="center" wrapText="1"/>
    </xf>
    <xf borderId="0" fillId="7" fontId="12" numFmtId="0" xfId="0" applyAlignment="1" applyFont="1">
      <alignment horizontal="center" readingOrder="0" shrinkToFit="0" vertical="center" wrapText="1"/>
    </xf>
    <xf borderId="11" fillId="11" fontId="7" numFmtId="4" xfId="0" applyAlignment="1" applyBorder="1" applyFont="1" applyNumberFormat="1">
      <alignment horizontal="right" readingOrder="0" vertical="center"/>
    </xf>
    <xf borderId="0" fillId="7" fontId="12" numFmtId="0" xfId="0" applyAlignment="1" applyFont="1">
      <alignment readingOrder="0" shrinkToFit="0" vertical="center" wrapText="1"/>
    </xf>
    <xf borderId="19" fillId="11" fontId="19" numFmtId="166" xfId="0" applyBorder="1" applyFont="1" applyNumberFormat="1"/>
    <xf borderId="11" fillId="11" fontId="7" numFmtId="4" xfId="0" applyAlignment="1" applyBorder="1" applyFont="1" applyNumberFormat="1">
      <alignment horizontal="right" vertical="center"/>
    </xf>
    <xf borderId="24" fillId="0" fontId="20" numFmtId="0" xfId="0" applyAlignment="1" applyBorder="1" applyFont="1">
      <alignment readingOrder="0" shrinkToFit="0" vertical="center" wrapText="1"/>
    </xf>
    <xf borderId="25" fillId="0" fontId="20" numFmtId="0" xfId="0" applyAlignment="1" applyBorder="1" applyFont="1">
      <alignment shrinkToFit="0" vertical="center" wrapText="1"/>
    </xf>
    <xf borderId="26" fillId="11" fontId="19" numFmtId="166" xfId="0" applyBorder="1" applyFont="1" applyNumberFormat="1"/>
    <xf borderId="14" fillId="11" fontId="7" numFmtId="4" xfId="0" applyAlignment="1" applyBorder="1" applyFont="1" applyNumberFormat="1">
      <alignment horizontal="right" vertical="center"/>
    </xf>
    <xf borderId="0" fillId="5" fontId="16" numFmtId="0" xfId="0" applyAlignment="1" applyFont="1">
      <alignment readingOrder="0"/>
    </xf>
    <xf borderId="25" fillId="0" fontId="20" numFmtId="164" xfId="0" applyAlignment="1" applyBorder="1" applyFont="1" applyNumberFormat="1">
      <alignment horizontal="center" shrinkToFit="0" vertical="center" wrapText="1"/>
    </xf>
    <xf borderId="27" fillId="11" fontId="7" numFmtId="4" xfId="0" applyAlignment="1" applyBorder="1" applyFont="1" applyNumberFormat="1">
      <alignment horizontal="center" vertical="center"/>
    </xf>
    <xf borderId="25" fillId="0" fontId="20" numFmtId="165" xfId="0" applyAlignment="1" applyBorder="1" applyFont="1" applyNumberFormat="1">
      <alignment horizontal="center" shrinkToFit="0" vertical="center" wrapText="1"/>
    </xf>
    <xf borderId="0" fillId="3" fontId="21" numFmtId="0" xfId="0" applyAlignment="1" applyFont="1">
      <alignment horizontal="left" readingOrder="0" shrinkToFit="0" vertical="center" wrapText="1"/>
    </xf>
    <xf borderId="25" fillId="0" fontId="20" numFmtId="0" xfId="0" applyAlignment="1" applyBorder="1" applyFont="1">
      <alignment readingOrder="0" shrinkToFit="0" vertical="center" wrapText="1"/>
    </xf>
    <xf borderId="28" fillId="11" fontId="7" numFmtId="4" xfId="0" applyAlignment="1" applyBorder="1" applyFont="1" applyNumberFormat="1">
      <alignment horizontal="center" vertical="center"/>
    </xf>
    <xf borderId="29" fillId="0" fontId="20" numFmtId="0" xfId="0" applyAlignment="1" applyBorder="1" applyFont="1">
      <alignment readingOrder="0" shrinkToFit="0" vertical="center" wrapText="1"/>
    </xf>
    <xf borderId="22" fillId="11" fontId="7" numFmtId="0" xfId="0" applyAlignment="1" applyBorder="1" applyFont="1">
      <alignment horizontal="right" vertical="center"/>
    </xf>
    <xf borderId="0" fillId="12" fontId="22" numFmtId="0" xfId="0" applyAlignment="1" applyFill="1" applyFont="1">
      <alignment readingOrder="0" shrinkToFit="0" vertical="center" wrapText="1"/>
    </xf>
    <xf borderId="11" fillId="11" fontId="7" numFmtId="0" xfId="0" applyAlignment="1" applyBorder="1" applyFont="1">
      <alignment horizontal="right" vertical="center"/>
    </xf>
    <xf borderId="30" fillId="10" fontId="17" numFmtId="0" xfId="0" applyAlignment="1" applyBorder="1" applyFont="1">
      <alignment readingOrder="0" shrinkToFit="0" vertical="center" wrapText="1"/>
    </xf>
    <xf borderId="0" fillId="11" fontId="23" numFmtId="0" xfId="0" applyAlignment="1" applyFont="1">
      <alignment readingOrder="0" shrinkToFit="0" vertical="center" wrapText="1"/>
    </xf>
    <xf borderId="31" fillId="10" fontId="17" numFmtId="0" xfId="0" applyAlignment="1" applyBorder="1" applyFont="1">
      <alignment readingOrder="0" shrinkToFit="0" vertical="center" wrapText="1"/>
    </xf>
    <xf borderId="11" fillId="11" fontId="7" numFmtId="0" xfId="0" applyAlignment="1" applyBorder="1" applyFont="1">
      <alignment horizontal="center" readingOrder="0" vertical="center"/>
    </xf>
    <xf borderId="0" fillId="5" fontId="24" numFmtId="0" xfId="0" applyAlignment="1" applyFont="1">
      <alignment shrinkToFit="0" vertical="center" wrapText="1"/>
    </xf>
    <xf borderId="5" fillId="11" fontId="16" numFmtId="166" xfId="0" applyBorder="1" applyFont="1" applyNumberFormat="1"/>
    <xf borderId="31" fillId="0" fontId="25" numFmtId="0" xfId="0" applyBorder="1" applyFont="1"/>
    <xf borderId="32" fillId="0" fontId="25" numFmtId="0" xfId="0" applyBorder="1" applyFont="1"/>
    <xf borderId="5" fillId="0" fontId="4" numFmtId="0" xfId="0" applyAlignment="1" applyBorder="1" applyFont="1">
      <alignment readingOrder="0" shrinkToFit="0" vertical="center" wrapText="1"/>
    </xf>
    <xf borderId="0" fillId="0" fontId="4" numFmtId="0" xfId="0" applyAlignment="1" applyFont="1">
      <alignment readingOrder="0" shrinkToFit="0" vertical="center" wrapText="1"/>
    </xf>
    <xf borderId="0" fillId="11" fontId="16" numFmtId="0" xfId="0" applyAlignment="1" applyFont="1">
      <alignment horizontal="center"/>
    </xf>
    <xf borderId="0" fillId="3" fontId="26" numFmtId="0" xfId="0" applyAlignment="1" applyFont="1">
      <alignment readingOrder="0" shrinkToFit="0" vertical="center" wrapText="1"/>
    </xf>
    <xf borderId="7" fillId="0" fontId="25" numFmtId="0" xfId="0" applyBorder="1" applyFont="1"/>
    <xf borderId="0" fillId="11" fontId="6" numFmtId="0" xfId="0" applyFont="1"/>
    <xf borderId="5" fillId="7" fontId="4" numFmtId="0" xfId="0" applyAlignment="1" applyBorder="1" applyFont="1">
      <alignment readingOrder="0" shrinkToFit="0" vertical="center" wrapText="1"/>
    </xf>
    <xf borderId="33" fillId="13" fontId="13" numFmtId="0" xfId="0" applyAlignment="1" applyBorder="1" applyFill="1" applyFont="1">
      <alignment horizontal="center" readingOrder="0" shrinkToFit="0" vertical="center" wrapText="1"/>
    </xf>
    <xf borderId="0" fillId="7" fontId="4" numFmtId="0" xfId="0" applyAlignment="1" applyFont="1">
      <alignment readingOrder="0" shrinkToFit="0" vertical="center" wrapText="1"/>
    </xf>
    <xf borderId="0" fillId="11" fontId="6" numFmtId="0" xfId="0" applyAlignment="1" applyFont="1">
      <alignment readingOrder="0"/>
    </xf>
    <xf borderId="34" fillId="13" fontId="13" numFmtId="0" xfId="0" applyAlignment="1" applyBorder="1" applyFont="1">
      <alignment horizontal="center" readingOrder="0" shrinkToFit="0" vertical="center" wrapText="1"/>
    </xf>
    <xf borderId="7" fillId="11" fontId="6" numFmtId="0" xfId="0" applyBorder="1" applyFont="1"/>
    <xf borderId="35" fillId="13" fontId="13" numFmtId="0" xfId="0" applyAlignment="1" applyBorder="1" applyFont="1">
      <alignment horizontal="center" readingOrder="0" shrinkToFit="0" vertical="center" wrapText="1"/>
    </xf>
    <xf borderId="11" fillId="14" fontId="7" numFmtId="0" xfId="0" applyAlignment="1" applyBorder="1" applyFill="1" applyFont="1">
      <alignment horizontal="left" vertical="center"/>
    </xf>
    <xf borderId="0" fillId="7" fontId="12" numFmtId="165" xfId="0" applyAlignment="1" applyFont="1" applyNumberFormat="1">
      <alignment horizontal="right" readingOrder="0" shrinkToFit="0" vertical="center" wrapText="1"/>
    </xf>
    <xf borderId="36" fillId="13" fontId="13" numFmtId="0" xfId="0" applyAlignment="1" applyBorder="1" applyFont="1">
      <alignment horizontal="center" readingOrder="0" shrinkToFit="0" vertical="center" wrapText="1"/>
    </xf>
    <xf borderId="11" fillId="14" fontId="7" numFmtId="0" xfId="0" applyAlignment="1" applyBorder="1" applyFont="1">
      <alignment horizontal="left" readingOrder="0" vertical="center"/>
    </xf>
    <xf borderId="0" fillId="0" fontId="12" numFmtId="165" xfId="0" applyAlignment="1" applyFont="1" applyNumberFormat="1">
      <alignment horizontal="right" readingOrder="0" shrinkToFit="0" vertical="center" wrapText="1"/>
    </xf>
    <xf borderId="11" fillId="14" fontId="7" numFmtId="0" xfId="0" applyAlignment="1" applyBorder="1" applyFont="1">
      <alignment horizontal="center" vertical="center"/>
    </xf>
    <xf borderId="37" fillId="15" fontId="24" numFmtId="0" xfId="0" applyAlignment="1" applyBorder="1" applyFill="1" applyFont="1">
      <alignment readingOrder="0" shrinkToFit="0" vertical="center" wrapText="1"/>
    </xf>
    <xf borderId="11" fillId="14" fontId="7" numFmtId="4" xfId="0" applyAlignment="1" applyBorder="1" applyFont="1" applyNumberFormat="1">
      <alignment horizontal="right" readingOrder="0" vertical="center"/>
    </xf>
    <xf borderId="38" fillId="15" fontId="24" numFmtId="3" xfId="0" applyAlignment="1" applyBorder="1" applyFont="1" applyNumberFormat="1">
      <alignment horizontal="center" readingOrder="0" shrinkToFit="0" vertical="center" wrapText="1"/>
    </xf>
    <xf borderId="11" fillId="14" fontId="7" numFmtId="4" xfId="0" applyAlignment="1" applyBorder="1" applyFont="1" applyNumberFormat="1">
      <alignment horizontal="right" vertical="center"/>
    </xf>
    <xf borderId="39" fillId="15" fontId="24" numFmtId="0" xfId="0" applyAlignment="1" applyBorder="1" applyFont="1">
      <alignment horizontal="center" readingOrder="0" shrinkToFit="0" vertical="center" wrapText="1"/>
    </xf>
    <xf borderId="12" fillId="0" fontId="4" numFmtId="0" xfId="0" applyAlignment="1" applyBorder="1" applyFont="1">
      <alignment readingOrder="0" shrinkToFit="0" vertical="center" wrapText="1"/>
    </xf>
    <xf borderId="38" fillId="15" fontId="24" numFmtId="0" xfId="0" applyAlignment="1" applyBorder="1" applyFont="1">
      <alignment horizontal="center" readingOrder="0" shrinkToFit="0" vertical="center" wrapText="1"/>
    </xf>
    <xf borderId="15" fillId="0" fontId="12" numFmtId="0" xfId="0" applyAlignment="1" applyBorder="1" applyFont="1">
      <alignment readingOrder="0" shrinkToFit="0" vertical="center" wrapText="1"/>
    </xf>
    <xf borderId="14" fillId="14" fontId="7" numFmtId="4" xfId="0" applyAlignment="1" applyBorder="1" applyFont="1" applyNumberFormat="1">
      <alignment horizontal="right" vertical="center"/>
    </xf>
    <xf borderId="15" fillId="0" fontId="4" numFmtId="0" xfId="0" applyAlignment="1" applyBorder="1" applyFont="1">
      <alignment readingOrder="0" shrinkToFit="0" vertical="center" wrapText="1"/>
    </xf>
    <xf borderId="40" fillId="15" fontId="24" numFmtId="0" xfId="0" applyAlignment="1" applyBorder="1" applyFont="1">
      <alignment readingOrder="0" shrinkToFit="0" vertical="center" wrapText="1"/>
    </xf>
    <xf borderId="15" fillId="0" fontId="25" numFmtId="0" xfId="0" applyBorder="1" applyFont="1"/>
    <xf borderId="37" fillId="5" fontId="24" numFmtId="0" xfId="0" applyAlignment="1" applyBorder="1" applyFont="1">
      <alignment readingOrder="0" shrinkToFit="0" vertical="center" wrapText="1"/>
    </xf>
    <xf borderId="27" fillId="14" fontId="7" numFmtId="4" xfId="0" applyAlignment="1" applyBorder="1" applyFont="1" applyNumberFormat="1">
      <alignment horizontal="center" vertical="center"/>
    </xf>
    <xf borderId="16" fillId="0" fontId="25" numFmtId="0" xfId="0" applyBorder="1" applyFont="1"/>
    <xf borderId="38" fillId="5" fontId="24" numFmtId="3" xfId="0" applyAlignment="1" applyBorder="1" applyFont="1" applyNumberFormat="1">
      <alignment horizontal="center" readingOrder="0" shrinkToFit="0" vertical="center" wrapText="1"/>
    </xf>
    <xf borderId="39" fillId="5" fontId="24" numFmtId="0" xfId="0" applyAlignment="1" applyBorder="1" applyFont="1">
      <alignment horizontal="center" readingOrder="0" shrinkToFit="0" vertical="center" wrapText="1"/>
    </xf>
    <xf borderId="28" fillId="14" fontId="7" numFmtId="4" xfId="0" applyAlignment="1" applyBorder="1" applyFont="1" applyNumberFormat="1">
      <alignment horizontal="center" vertical="center"/>
    </xf>
    <xf borderId="38" fillId="5" fontId="24" numFmtId="0" xfId="0" applyAlignment="1" applyBorder="1" applyFont="1">
      <alignment horizontal="center" readingOrder="0" shrinkToFit="0" vertical="center" wrapText="1"/>
    </xf>
    <xf borderId="22" fillId="14" fontId="7" numFmtId="0" xfId="0" applyAlignment="1" applyBorder="1" applyFont="1">
      <alignment horizontal="right" vertical="center"/>
    </xf>
    <xf borderId="40" fillId="5" fontId="24" numFmtId="0" xfId="0" applyAlignment="1" applyBorder="1" applyFont="1">
      <alignment readingOrder="0" shrinkToFit="0" vertical="center" wrapText="1"/>
    </xf>
    <xf borderId="32" fillId="10" fontId="17" numFmtId="0" xfId="0" applyAlignment="1" applyBorder="1" applyFont="1">
      <alignment readingOrder="0" shrinkToFit="0" vertical="center" wrapText="1"/>
    </xf>
    <xf borderId="0" fillId="5" fontId="7" numFmtId="0" xfId="0" applyAlignment="1" applyFont="1">
      <alignment horizontal="center"/>
    </xf>
    <xf borderId="5" fillId="11" fontId="4" numFmtId="0" xfId="0" applyAlignment="1" applyBorder="1" applyFont="1">
      <alignment readingOrder="0" shrinkToFit="0" vertical="center" wrapText="1"/>
    </xf>
    <xf borderId="11" fillId="14" fontId="9" numFmtId="4" xfId="0" applyAlignment="1" applyBorder="1" applyFont="1" applyNumberFormat="1">
      <alignment horizontal="right" vertical="center"/>
    </xf>
    <xf borderId="39" fillId="15" fontId="24" numFmtId="168" xfId="0" applyAlignment="1" applyBorder="1" applyFont="1" applyNumberFormat="1">
      <alignment horizontal="center" readingOrder="0" shrinkToFit="0" vertical="center" wrapText="1"/>
    </xf>
    <xf borderId="11" fillId="14" fontId="7" numFmtId="0" xfId="0" applyAlignment="1" applyBorder="1" applyFont="1">
      <alignment horizontal="right" vertical="center"/>
    </xf>
    <xf borderId="0" fillId="5" fontId="27" numFmtId="0" xfId="0" applyAlignment="1" applyFont="1">
      <alignment horizontal="center"/>
    </xf>
    <xf borderId="11" fillId="13" fontId="27" numFmtId="0" xfId="0" applyAlignment="1" applyBorder="1" applyFont="1">
      <alignment horizontal="center" vertical="center"/>
    </xf>
    <xf borderId="0" fillId="0" fontId="28" numFmtId="165" xfId="0" applyAlignment="1" applyFont="1" applyNumberFormat="1">
      <alignment horizontal="right" shrinkToFit="0" vertical="center" wrapText="1"/>
    </xf>
    <xf borderId="38" fillId="5" fontId="24" numFmtId="168" xfId="0" applyAlignment="1" applyBorder="1" applyFont="1" applyNumberFormat="1">
      <alignment horizontal="center" readingOrder="0" shrinkToFit="0" vertical="center" wrapText="1"/>
    </xf>
    <xf borderId="11" fillId="13" fontId="27" numFmtId="0" xfId="0" applyAlignment="1" applyBorder="1" applyFont="1">
      <alignment horizontal="left" vertical="center"/>
    </xf>
    <xf borderId="11" fillId="13" fontId="27" numFmtId="0" xfId="0" applyAlignment="1" applyBorder="1" applyFont="1">
      <alignment horizontal="left" readingOrder="0" vertical="center"/>
    </xf>
    <xf borderId="11" fillId="13" fontId="27" numFmtId="4" xfId="0" applyAlignment="1" applyBorder="1" applyFont="1" applyNumberFormat="1">
      <alignment horizontal="right" vertical="center"/>
    </xf>
    <xf borderId="0" fillId="0" fontId="4" numFmtId="169" xfId="0" applyAlignment="1" applyFont="1" applyNumberFormat="1">
      <alignment horizontal="right" shrinkToFit="0" vertical="center" wrapText="1"/>
    </xf>
    <xf borderId="14" fillId="13" fontId="27" numFmtId="4" xfId="0" applyAlignment="1" applyBorder="1" applyFont="1" applyNumberFormat="1">
      <alignment horizontal="right" vertical="center"/>
    </xf>
    <xf borderId="7" fillId="0" fontId="4" numFmtId="0" xfId="0" applyAlignment="1" applyBorder="1" applyFont="1">
      <alignment readingOrder="0" shrinkToFit="0" vertical="center" wrapText="1"/>
    </xf>
    <xf borderId="27" fillId="13" fontId="27" numFmtId="4" xfId="0" applyAlignment="1" applyBorder="1" applyFont="1" applyNumberFormat="1">
      <alignment horizontal="center" vertical="center"/>
    </xf>
    <xf borderId="38" fillId="5" fontId="24" numFmtId="170" xfId="0" applyAlignment="1" applyBorder="1" applyFont="1" applyNumberFormat="1">
      <alignment horizontal="center" shrinkToFit="0" vertical="center" wrapText="1"/>
    </xf>
    <xf borderId="5" fillId="16" fontId="4" numFmtId="0" xfId="0" applyAlignment="1" applyBorder="1" applyFill="1" applyFont="1">
      <alignment readingOrder="0" shrinkToFit="0" vertical="center" wrapText="1"/>
    </xf>
    <xf borderId="28" fillId="13" fontId="27" numFmtId="4" xfId="0" applyAlignment="1" applyBorder="1" applyFont="1" applyNumberFormat="1">
      <alignment horizontal="center" vertical="center"/>
    </xf>
    <xf borderId="22" fillId="13" fontId="7" numFmtId="0" xfId="0" applyAlignment="1" applyBorder="1" applyFont="1">
      <alignment horizontal="right" vertical="center"/>
    </xf>
    <xf borderId="0" fillId="5" fontId="29" numFmtId="0" xfId="0" applyAlignment="1" applyFont="1">
      <alignment horizontal="center" vertical="bottom"/>
    </xf>
    <xf borderId="11" fillId="13" fontId="30" numFmtId="0" xfId="0" applyAlignment="1" applyBorder="1" applyFont="1">
      <alignment horizontal="right" readingOrder="0" vertical="center"/>
    </xf>
    <xf borderId="0" fillId="7" fontId="28" numFmtId="165" xfId="0" applyAlignment="1" applyFont="1" applyNumberFormat="1">
      <alignment horizontal="right" shrinkToFit="0" vertical="center" wrapText="1"/>
    </xf>
    <xf borderId="11" fillId="13" fontId="7" numFmtId="0" xfId="0" applyAlignment="1" applyBorder="1" applyFont="1">
      <alignment horizontal="right" vertical="center"/>
    </xf>
    <xf borderId="41" fillId="5" fontId="24" numFmtId="0" xfId="0" applyAlignment="1" applyBorder="1" applyFont="1">
      <alignment readingOrder="0" shrinkToFit="0" vertical="center" wrapText="1"/>
    </xf>
    <xf borderId="11" fillId="16" fontId="7" numFmtId="0" xfId="0" applyAlignment="1" applyBorder="1" applyFont="1">
      <alignment horizontal="left" vertical="center"/>
    </xf>
    <xf borderId="42" fillId="5" fontId="24" numFmtId="3" xfId="0" applyAlignment="1" applyBorder="1" applyFont="1" applyNumberFormat="1">
      <alignment horizontal="center" readingOrder="0" shrinkToFit="0" vertical="center" wrapText="1"/>
    </xf>
    <xf borderId="0" fillId="7" fontId="4" numFmtId="169" xfId="0" applyAlignment="1" applyFont="1" applyNumberFormat="1">
      <alignment horizontal="right" shrinkToFit="0" vertical="center" wrapText="1"/>
    </xf>
    <xf borderId="11" fillId="16" fontId="7" numFmtId="0" xfId="0" applyAlignment="1" applyBorder="1" applyFont="1">
      <alignment horizontal="left" readingOrder="0" vertical="center"/>
    </xf>
    <xf borderId="43" fillId="5" fontId="24" numFmtId="0" xfId="0" applyAlignment="1" applyBorder="1" applyFont="1">
      <alignment horizontal="center" readingOrder="0" shrinkToFit="0" vertical="center" wrapText="1"/>
    </xf>
    <xf borderId="11" fillId="16" fontId="7" numFmtId="0" xfId="0" applyAlignment="1" applyBorder="1" applyFont="1">
      <alignment horizontal="center" vertical="center"/>
    </xf>
    <xf borderId="7" fillId="7" fontId="4" numFmtId="0" xfId="0" applyAlignment="1" applyBorder="1" applyFont="1">
      <alignment readingOrder="0" shrinkToFit="0" vertical="center" wrapText="1"/>
    </xf>
    <xf borderId="11" fillId="16" fontId="7" numFmtId="4" xfId="0" applyAlignment="1" applyBorder="1" applyFont="1" applyNumberFormat="1">
      <alignment horizontal="right" vertical="center"/>
    </xf>
    <xf borderId="42" fillId="5" fontId="24" numFmtId="0" xfId="0" applyAlignment="1" applyBorder="1" applyFont="1">
      <alignment horizontal="center" readingOrder="0" shrinkToFit="0" vertical="center" wrapText="1"/>
    </xf>
    <xf borderId="5" fillId="17" fontId="4" numFmtId="0" xfId="0" applyAlignment="1" applyBorder="1" applyFill="1" applyFont="1">
      <alignment readingOrder="0" shrinkToFit="0" vertical="center" wrapText="1"/>
    </xf>
    <xf borderId="44" fillId="5" fontId="24" numFmtId="0" xfId="0" applyAlignment="1" applyBorder="1" applyFont="1">
      <alignment readingOrder="0" shrinkToFit="0" vertical="center" wrapText="1"/>
    </xf>
    <xf borderId="45" fillId="18" fontId="24" numFmtId="0" xfId="0" applyAlignment="1" applyBorder="1" applyFill="1" applyFont="1">
      <alignment readingOrder="0" shrinkToFit="0" vertical="center" wrapText="1"/>
    </xf>
    <xf borderId="14" fillId="16" fontId="7" numFmtId="4" xfId="0" applyAlignment="1" applyBorder="1" applyFont="1" applyNumberFormat="1">
      <alignment horizontal="right" vertical="center"/>
    </xf>
    <xf borderId="12" fillId="19" fontId="4" numFmtId="0" xfId="0" applyAlignment="1" applyBorder="1" applyFill="1" applyFont="1">
      <alignment readingOrder="0" shrinkToFit="0" vertical="center" wrapText="1"/>
    </xf>
    <xf borderId="27" fillId="16" fontId="7" numFmtId="4" xfId="0" applyAlignment="1" applyBorder="1" applyFont="1" applyNumberFormat="1">
      <alignment horizontal="center" vertical="center"/>
    </xf>
    <xf borderId="28" fillId="16" fontId="7" numFmtId="4" xfId="0" applyAlignment="1" applyBorder="1" applyFont="1" applyNumberFormat="1">
      <alignment horizontal="center" vertical="center"/>
    </xf>
    <xf borderId="15" fillId="7" fontId="28" numFmtId="165" xfId="0" applyAlignment="1" applyBorder="1" applyFont="1" applyNumberFormat="1">
      <alignment horizontal="right" shrinkToFit="0" vertical="center" wrapText="1"/>
    </xf>
    <xf borderId="46" fillId="18" fontId="24" numFmtId="0" xfId="0" applyAlignment="1" applyBorder="1" applyFont="1">
      <alignment horizontal="center" readingOrder="0" shrinkToFit="0" vertical="center" wrapText="1"/>
    </xf>
    <xf borderId="22" fillId="16" fontId="7" numFmtId="4" xfId="0" applyAlignment="1" applyBorder="1" applyFont="1" applyNumberFormat="1">
      <alignment horizontal="right" vertical="center"/>
    </xf>
    <xf borderId="11" fillId="16" fontId="7" numFmtId="0" xfId="0" applyAlignment="1" applyBorder="1" applyFont="1">
      <alignment horizontal="right" vertical="center"/>
    </xf>
    <xf borderId="47" fillId="18" fontId="24" numFmtId="168" xfId="0" applyAlignment="1" applyBorder="1" applyFont="1" applyNumberFormat="1">
      <alignment horizontal="center" readingOrder="0" shrinkToFit="0" vertical="center" wrapText="1"/>
    </xf>
    <xf borderId="15" fillId="7" fontId="4" numFmtId="169" xfId="0" applyAlignment="1" applyBorder="1" applyFont="1" applyNumberFormat="1">
      <alignment horizontal="right" shrinkToFit="0" vertical="center" wrapText="1"/>
    </xf>
    <xf borderId="11" fillId="16" fontId="7" numFmtId="0" xfId="0" applyAlignment="1" applyBorder="1" applyFont="1">
      <alignment horizontal="center" readingOrder="0" vertical="center"/>
    </xf>
    <xf borderId="15" fillId="7" fontId="4" numFmtId="0" xfId="0" applyAlignment="1" applyBorder="1" applyFont="1">
      <alignment readingOrder="0" shrinkToFit="0" vertical="center" wrapText="1"/>
    </xf>
    <xf borderId="48" fillId="18" fontId="24" numFmtId="0" xfId="0" applyAlignment="1" applyBorder="1" applyFont="1">
      <alignment readingOrder="0" shrinkToFit="0" vertical="center" wrapText="1"/>
    </xf>
    <xf borderId="47" fillId="18" fontId="24" numFmtId="0" xfId="0" applyAlignment="1" applyBorder="1" applyFont="1">
      <alignment horizontal="center" readingOrder="0" shrinkToFit="0" vertical="center" wrapText="1"/>
    </xf>
    <xf borderId="16" fillId="7" fontId="4" numFmtId="0" xfId="0" applyAlignment="1" applyBorder="1" applyFont="1">
      <alignment readingOrder="0" shrinkToFit="0" vertical="center" wrapText="1"/>
    </xf>
    <xf borderId="1" fillId="0" fontId="20" numFmtId="0" xfId="0" applyAlignment="1" applyBorder="1" applyFont="1">
      <alignment readingOrder="0" shrinkToFit="0" vertical="center" wrapText="1"/>
    </xf>
    <xf borderId="49" fillId="13" fontId="13" numFmtId="0" xfId="0" applyAlignment="1" applyBorder="1" applyFont="1">
      <alignment horizontal="center" readingOrder="0" shrinkToFit="0" vertical="center" wrapText="1"/>
    </xf>
    <xf borderId="3" fillId="0" fontId="20" numFmtId="165" xfId="0" applyAlignment="1" applyBorder="1" applyFont="1" applyNumberFormat="1">
      <alignment horizontal="right" shrinkToFit="0" vertical="center" wrapText="1"/>
    </xf>
    <xf borderId="4" fillId="0" fontId="20" numFmtId="169" xfId="0" applyAlignment="1" applyBorder="1" applyFont="1" applyNumberFormat="1">
      <alignment horizontal="right" readingOrder="0" shrinkToFit="0" vertical="center" wrapText="1"/>
    </xf>
    <xf borderId="0" fillId="0" fontId="20" numFmtId="0" xfId="0" applyAlignment="1" applyFont="1">
      <alignment shrinkToFit="0" vertical="center" wrapText="1"/>
    </xf>
    <xf borderId="11" fillId="20" fontId="7" numFmtId="0" xfId="0" applyAlignment="1" applyBorder="1" applyFill="1" applyFont="1">
      <alignment horizontal="left" vertical="center"/>
    </xf>
    <xf borderId="50" fillId="21" fontId="24" numFmtId="0" xfId="0" applyAlignment="1" applyBorder="1" applyFill="1" applyFont="1">
      <alignment readingOrder="0" shrinkToFit="0" vertical="center" wrapText="1"/>
    </xf>
    <xf borderId="11" fillId="20" fontId="7" numFmtId="0" xfId="0" applyAlignment="1" applyBorder="1" applyFont="1">
      <alignment horizontal="left" readingOrder="0" vertical="center"/>
    </xf>
    <xf borderId="0" fillId="0" fontId="31" numFmtId="0" xfId="0" applyAlignment="1" applyFont="1">
      <alignment readingOrder="0" shrinkToFit="0" vertical="center" wrapText="1"/>
    </xf>
    <xf borderId="51" fillId="21" fontId="24" numFmtId="3" xfId="0" applyAlignment="1" applyBorder="1" applyFont="1" applyNumberFormat="1">
      <alignment readingOrder="0" shrinkToFit="0" vertical="center" wrapText="1"/>
    </xf>
    <xf borderId="11" fillId="20" fontId="7" numFmtId="0" xfId="0" applyAlignment="1" applyBorder="1" applyFont="1">
      <alignment horizontal="center" vertical="center"/>
    </xf>
    <xf borderId="5" fillId="22" fontId="20" numFmtId="0" xfId="0" applyAlignment="1" applyBorder="1" applyFill="1" applyFont="1">
      <alignment readingOrder="0" shrinkToFit="0" vertical="center" wrapText="1"/>
    </xf>
    <xf borderId="11" fillId="20" fontId="7" numFmtId="4" xfId="0" applyAlignment="1" applyBorder="1" applyFont="1" applyNumberFormat="1">
      <alignment horizontal="right" vertical="center"/>
    </xf>
    <xf borderId="0" fillId="22" fontId="20" numFmtId="165" xfId="0" applyAlignment="1" applyFont="1" applyNumberFormat="1">
      <alignment horizontal="right" shrinkToFit="0" vertical="center" wrapText="1"/>
    </xf>
    <xf borderId="7" fillId="22" fontId="20" numFmtId="169" xfId="0" applyAlignment="1" applyBorder="1" applyFont="1" applyNumberFormat="1">
      <alignment horizontal="right" shrinkToFit="0" vertical="center" wrapText="1"/>
    </xf>
    <xf borderId="14" fillId="20" fontId="7" numFmtId="4" xfId="0" applyAlignment="1" applyBorder="1" applyFont="1" applyNumberFormat="1">
      <alignment horizontal="right" vertical="center"/>
    </xf>
    <xf borderId="51" fillId="21" fontId="24" numFmtId="168" xfId="0" applyAlignment="1" applyBorder="1" applyFont="1" applyNumberFormat="1">
      <alignment shrinkToFit="0" vertical="center" wrapText="1"/>
    </xf>
    <xf borderId="5" fillId="16" fontId="20" numFmtId="0" xfId="0" applyAlignment="1" applyBorder="1" applyFont="1">
      <alignment readingOrder="0" shrinkToFit="0" vertical="center" wrapText="1"/>
    </xf>
    <xf borderId="27" fillId="20" fontId="7" numFmtId="4" xfId="0" applyAlignment="1" applyBorder="1" applyFont="1" applyNumberFormat="1">
      <alignment horizontal="center" vertical="center"/>
    </xf>
    <xf borderId="0" fillId="16" fontId="20" numFmtId="165" xfId="0" applyAlignment="1" applyFont="1" applyNumberFormat="1">
      <alignment horizontal="right" shrinkToFit="0" vertical="center" wrapText="1"/>
    </xf>
    <xf borderId="51" fillId="21" fontId="24" numFmtId="0" xfId="0" applyAlignment="1" applyBorder="1" applyFont="1">
      <alignment readingOrder="0" shrinkToFit="0" vertical="center" wrapText="1"/>
    </xf>
    <xf borderId="28" fillId="20" fontId="7" numFmtId="4" xfId="0" applyAlignment="1" applyBorder="1" applyFont="1" applyNumberFormat="1">
      <alignment horizontal="center" vertical="center"/>
    </xf>
    <xf borderId="22" fillId="20" fontId="7" numFmtId="0" xfId="0" applyAlignment="1" applyBorder="1" applyFont="1">
      <alignment horizontal="right" vertical="center"/>
    </xf>
    <xf borderId="52" fillId="21" fontId="24" numFmtId="0" xfId="0" applyAlignment="1" applyBorder="1" applyFont="1">
      <alignment readingOrder="0" shrinkToFit="0" vertical="center" wrapText="1"/>
    </xf>
    <xf borderId="53" fillId="21" fontId="24" numFmtId="0" xfId="0" applyAlignment="1" applyBorder="1" applyFont="1">
      <alignment readingOrder="0" shrinkToFit="0" vertical="center" wrapText="1"/>
    </xf>
    <xf borderId="11" fillId="20" fontId="9" numFmtId="4" xfId="0" applyAlignment="1" applyBorder="1" applyFont="1" applyNumberFormat="1">
      <alignment horizontal="right" vertical="center"/>
    </xf>
    <xf borderId="7" fillId="16" fontId="20" numFmtId="169" xfId="0" applyAlignment="1" applyBorder="1" applyFont="1" applyNumberFormat="1">
      <alignment horizontal="right" shrinkToFit="0" vertical="center" wrapText="1"/>
    </xf>
    <xf borderId="11" fillId="20" fontId="7" numFmtId="0" xfId="0" applyAlignment="1" applyBorder="1" applyFont="1">
      <alignment horizontal="right" vertical="center"/>
    </xf>
    <xf borderId="54" fillId="21" fontId="32" numFmtId="0" xfId="0" applyAlignment="1" applyBorder="1" applyFont="1">
      <alignment readingOrder="0" shrinkToFit="0" vertical="center" wrapText="1"/>
    </xf>
    <xf borderId="12" fillId="22" fontId="20" numFmtId="0" xfId="0" applyAlignment="1" applyBorder="1" applyFont="1">
      <alignment readingOrder="0" shrinkToFit="0" vertical="center" wrapText="1"/>
    </xf>
    <xf borderId="11" fillId="23" fontId="7" numFmtId="0" xfId="0" applyAlignment="1" applyBorder="1" applyFill="1" applyFont="1">
      <alignment horizontal="center" vertical="center"/>
    </xf>
    <xf borderId="15" fillId="22" fontId="20" numFmtId="165" xfId="0" applyAlignment="1" applyBorder="1" applyFont="1" applyNumberFormat="1">
      <alignment horizontal="right" shrinkToFit="0" vertical="center" wrapText="1"/>
    </xf>
    <xf borderId="11" fillId="23" fontId="7" numFmtId="0" xfId="0" applyAlignment="1" applyBorder="1" applyFont="1">
      <alignment horizontal="left" vertical="center"/>
    </xf>
    <xf borderId="11" fillId="23" fontId="7" numFmtId="0" xfId="0" applyAlignment="1" applyBorder="1" applyFont="1">
      <alignment horizontal="left" readingOrder="0" vertical="center"/>
    </xf>
    <xf borderId="54" fillId="21" fontId="24" numFmtId="168" xfId="0" applyAlignment="1" applyBorder="1" applyFont="1" applyNumberFormat="1">
      <alignment shrinkToFit="0" vertical="center" wrapText="1"/>
    </xf>
    <xf borderId="16" fillId="22" fontId="20" numFmtId="169" xfId="0" applyAlignment="1" applyBorder="1" applyFont="1" applyNumberFormat="1">
      <alignment horizontal="right" shrinkToFit="0" vertical="center" wrapText="1"/>
    </xf>
    <xf borderId="11" fillId="23" fontId="7" numFmtId="4" xfId="0" applyAlignment="1" applyBorder="1" applyFont="1" applyNumberFormat="1">
      <alignment horizontal="right" vertical="center"/>
    </xf>
    <xf borderId="54" fillId="21" fontId="24" numFmtId="0" xfId="0" applyAlignment="1" applyBorder="1" applyFont="1">
      <alignment readingOrder="0" shrinkToFit="0" vertical="center" wrapText="1"/>
    </xf>
    <xf borderId="55" fillId="21" fontId="24" numFmtId="0" xfId="0" applyAlignment="1" applyBorder="1" applyFont="1">
      <alignment readingOrder="0" shrinkToFit="0" vertical="center" wrapText="1"/>
    </xf>
    <xf borderId="14" fillId="23" fontId="7" numFmtId="4" xfId="0" applyAlignment="1" applyBorder="1" applyFont="1" applyNumberFormat="1">
      <alignment horizontal="right" vertical="center"/>
    </xf>
    <xf borderId="31" fillId="10" fontId="17" numFmtId="0" xfId="0" applyAlignment="1" applyBorder="1" applyFont="1">
      <alignment horizontal="center" readingOrder="0" shrinkToFit="0" vertical="center" wrapText="1"/>
    </xf>
    <xf borderId="0" fillId="24" fontId="33" numFmtId="0" xfId="0" applyAlignment="1" applyFill="1" applyFont="1">
      <alignment readingOrder="0" shrinkToFit="0" vertical="center" wrapText="1"/>
    </xf>
    <xf borderId="27" fillId="23" fontId="7" numFmtId="4" xfId="0" applyAlignment="1" applyBorder="1" applyFont="1" applyNumberFormat="1">
      <alignment horizontal="center" vertical="center"/>
    </xf>
    <xf borderId="0" fillId="0" fontId="4" numFmtId="164" xfId="0" applyAlignment="1" applyFont="1" applyNumberFormat="1">
      <alignment horizontal="right" readingOrder="0" shrinkToFit="0" vertical="center" wrapText="1"/>
    </xf>
    <xf borderId="28" fillId="23" fontId="7" numFmtId="4" xfId="0" applyAlignment="1" applyBorder="1" applyFont="1" applyNumberFormat="1">
      <alignment horizontal="center" vertical="center"/>
    </xf>
    <xf borderId="22" fillId="23" fontId="7" numFmtId="4" xfId="0" applyAlignment="1" applyBorder="1" applyFont="1" applyNumberFormat="1">
      <alignment horizontal="right" vertical="center"/>
    </xf>
    <xf borderId="0" fillId="0" fontId="4" numFmtId="164" xfId="0" applyAlignment="1" applyFont="1" applyNumberFormat="1">
      <alignment horizontal="right" shrinkToFit="0" vertical="center" wrapText="1"/>
    </xf>
    <xf borderId="11" fillId="23" fontId="18" numFmtId="0" xfId="0" applyAlignment="1" applyBorder="1" applyFont="1">
      <alignment horizontal="right" readingOrder="0" vertical="center"/>
    </xf>
    <xf borderId="11" fillId="23" fontId="7" numFmtId="0" xfId="0" applyAlignment="1" applyBorder="1" applyFont="1">
      <alignment horizontal="right" vertical="center"/>
    </xf>
    <xf borderId="40" fillId="13" fontId="13" numFmtId="0" xfId="0" applyAlignment="1" applyBorder="1" applyFont="1">
      <alignment horizontal="center" readingOrder="0" shrinkToFit="0" vertical="center" wrapText="1"/>
    </xf>
    <xf borderId="11" fillId="25" fontId="7" numFmtId="0" xfId="0" applyAlignment="1" applyBorder="1" applyFill="1" applyFont="1">
      <alignment horizontal="left" vertical="center"/>
    </xf>
    <xf borderId="11" fillId="25" fontId="7" numFmtId="0" xfId="0" applyAlignment="1" applyBorder="1" applyFont="1">
      <alignment horizontal="left" readingOrder="0" vertical="center"/>
    </xf>
    <xf borderId="51" fillId="13" fontId="13" numFmtId="0" xfId="0" applyAlignment="1" applyBorder="1" applyFont="1">
      <alignment horizontal="center" readingOrder="0" shrinkToFit="0" vertical="center" wrapText="1"/>
    </xf>
    <xf borderId="11" fillId="25" fontId="7" numFmtId="0" xfId="0" applyAlignment="1" applyBorder="1" applyFont="1">
      <alignment horizontal="center" vertical="center"/>
    </xf>
    <xf borderId="11" fillId="25" fontId="7" numFmtId="4" xfId="0" applyAlignment="1" applyBorder="1" applyFont="1" applyNumberFormat="1">
      <alignment horizontal="right" vertical="center"/>
    </xf>
    <xf borderId="0" fillId="7" fontId="4" numFmtId="165" xfId="0" applyAlignment="1" applyFont="1" applyNumberFormat="1">
      <alignment horizontal="right" readingOrder="0" shrinkToFit="0" vertical="center" wrapText="1"/>
    </xf>
    <xf borderId="56" fillId="13" fontId="13" numFmtId="0" xfId="0" applyAlignment="1" applyBorder="1" applyFont="1">
      <alignment horizontal="center" readingOrder="0" shrinkToFit="0" vertical="center" wrapText="1"/>
    </xf>
    <xf borderId="0" fillId="7" fontId="4" numFmtId="165" xfId="0" applyAlignment="1" applyFont="1" applyNumberFormat="1">
      <alignment horizontal="right" shrinkToFit="0" vertical="center" wrapText="1"/>
    </xf>
    <xf borderId="57" fillId="0" fontId="25" numFmtId="0" xfId="0" applyBorder="1" applyFont="1"/>
    <xf borderId="14" fillId="25" fontId="7" numFmtId="4" xfId="0" applyAlignment="1" applyBorder="1" applyFont="1" applyNumberFormat="1">
      <alignment horizontal="right" vertical="center"/>
    </xf>
    <xf borderId="58" fillId="8" fontId="7" numFmtId="0" xfId="0" applyAlignment="1" applyBorder="1" applyFont="1">
      <alignment horizontal="center" vertical="center"/>
    </xf>
    <xf borderId="27" fillId="25" fontId="7" numFmtId="4" xfId="0" applyAlignment="1" applyBorder="1" applyFont="1" applyNumberFormat="1">
      <alignment horizontal="center" vertical="center"/>
    </xf>
    <xf borderId="0" fillId="0" fontId="4" numFmtId="171" xfId="0" applyAlignment="1" applyFont="1" applyNumberFormat="1">
      <alignment horizontal="right" readingOrder="0" shrinkToFit="0" vertical="center" wrapText="1"/>
    </xf>
    <xf borderId="11" fillId="11" fontId="24" numFmtId="0" xfId="0" applyAlignment="1" applyBorder="1" applyFont="1">
      <alignment horizontal="center" readingOrder="0" shrinkToFit="0" vertical="center" wrapText="1"/>
    </xf>
    <xf borderId="28" fillId="25" fontId="7" numFmtId="4" xfId="0" applyAlignment="1" applyBorder="1" applyFont="1" applyNumberFormat="1">
      <alignment horizontal="center" vertical="center"/>
    </xf>
    <xf borderId="22" fillId="25" fontId="7" numFmtId="4" xfId="0" applyAlignment="1" applyBorder="1" applyFont="1" applyNumberFormat="1">
      <alignment horizontal="right" vertical="center"/>
    </xf>
    <xf borderId="11" fillId="11" fontId="24" numFmtId="3" xfId="0" applyAlignment="1" applyBorder="1" applyFont="1" applyNumberFormat="1">
      <alignment horizontal="center" readingOrder="0" shrinkToFit="0" vertical="center" wrapText="1"/>
    </xf>
    <xf borderId="11" fillId="25" fontId="7" numFmtId="0" xfId="0" applyAlignment="1" applyBorder="1" applyFont="1">
      <alignment horizontal="right" vertical="center"/>
    </xf>
    <xf borderId="0" fillId="0" fontId="4" numFmtId="171" xfId="0" applyAlignment="1" applyFont="1" applyNumberFormat="1">
      <alignment horizontal="right" shrinkToFit="0" vertical="center" wrapText="1"/>
    </xf>
    <xf borderId="11" fillId="25" fontId="7" numFmtId="0" xfId="0" applyAlignment="1" applyBorder="1" applyFont="1">
      <alignment horizontal="center" readingOrder="0" vertical="center"/>
    </xf>
    <xf borderId="11" fillId="11" fontId="24" numFmtId="168" xfId="0" applyAlignment="1" applyBorder="1" applyFont="1" applyNumberFormat="1">
      <alignment horizontal="center" shrinkToFit="0" vertical="center" wrapText="1"/>
    </xf>
    <xf borderId="12" fillId="11" fontId="16" numFmtId="166" xfId="0" applyBorder="1" applyFont="1" applyNumberFormat="1"/>
    <xf borderId="11" fillId="11" fontId="24" numFmtId="168" xfId="0" applyAlignment="1" applyBorder="1" applyFont="1" applyNumberFormat="1">
      <alignment horizontal="center" readingOrder="0" shrinkToFit="0" vertical="center" wrapText="1"/>
    </xf>
    <xf borderId="15" fillId="22" fontId="20" numFmtId="0" xfId="0" applyAlignment="1" applyBorder="1" applyFont="1">
      <alignment shrinkToFit="0" vertical="center" wrapText="1"/>
    </xf>
    <xf borderId="15" fillId="11" fontId="16" numFmtId="0" xfId="0" applyAlignment="1" applyBorder="1" applyFont="1">
      <alignment horizontal="center"/>
    </xf>
    <xf borderId="11" fillId="26" fontId="7" numFmtId="0" xfId="0" applyAlignment="1" applyBorder="1" applyFill="1" applyFont="1">
      <alignment horizontal="left" vertical="center"/>
    </xf>
    <xf borderId="14" fillId="11" fontId="24" numFmtId="0" xfId="0" applyAlignment="1" applyBorder="1" applyFont="1">
      <alignment readingOrder="0" shrinkToFit="0" vertical="center" wrapText="1"/>
    </xf>
    <xf borderId="15" fillId="11" fontId="6" numFmtId="0" xfId="0" applyBorder="1" applyFont="1"/>
    <xf borderId="22" fillId="0" fontId="25" numFmtId="0" xfId="0" applyBorder="1" applyFont="1"/>
    <xf borderId="11" fillId="26" fontId="7" numFmtId="0" xfId="0" applyAlignment="1" applyBorder="1" applyFont="1">
      <alignment horizontal="left" readingOrder="0" vertical="center"/>
    </xf>
    <xf borderId="15" fillId="11" fontId="6" numFmtId="0" xfId="0" applyAlignment="1" applyBorder="1" applyFont="1">
      <alignment readingOrder="0"/>
    </xf>
    <xf borderId="15" fillId="22" fontId="20" numFmtId="0" xfId="0" applyAlignment="1" applyBorder="1" applyFont="1">
      <alignment horizontal="center" shrinkToFit="0" vertical="center" wrapText="1"/>
    </xf>
    <xf borderId="11" fillId="26" fontId="7" numFmtId="0" xfId="0" applyAlignment="1" applyBorder="1" applyFont="1">
      <alignment horizontal="center" vertical="center"/>
    </xf>
    <xf borderId="58" fillId="13" fontId="27" numFmtId="0" xfId="0" applyAlignment="1" applyBorder="1" applyFont="1">
      <alignment horizontal="center" vertical="center"/>
    </xf>
    <xf borderId="15" fillId="22" fontId="20" numFmtId="0" xfId="0" applyAlignment="1" applyBorder="1" applyFont="1">
      <alignment readingOrder="0" shrinkToFit="0" vertical="center" wrapText="1"/>
    </xf>
    <xf borderId="11" fillId="26" fontId="7" numFmtId="4" xfId="0" applyAlignment="1" applyBorder="1" applyFont="1" applyNumberFormat="1">
      <alignment horizontal="right" vertical="center"/>
    </xf>
    <xf borderId="16" fillId="11" fontId="6" numFmtId="0" xfId="0" applyBorder="1" applyFont="1"/>
    <xf borderId="11" fillId="16" fontId="24" numFmtId="0" xfId="0" applyAlignment="1" applyBorder="1" applyFont="1">
      <alignment horizontal="center" readingOrder="0" shrinkToFit="0" vertical="center" wrapText="1"/>
    </xf>
    <xf borderId="59" fillId="14" fontId="19" numFmtId="0" xfId="0" applyBorder="1" applyFont="1"/>
    <xf borderId="14" fillId="0" fontId="12" numFmtId="0" xfId="0" applyAlignment="1" applyBorder="1" applyFont="1">
      <alignment horizontal="right" readingOrder="0" shrinkToFit="0" vertical="center" wrapText="1"/>
    </xf>
    <xf borderId="11" fillId="16" fontId="24" numFmtId="3" xfId="0" applyAlignment="1" applyBorder="1" applyFont="1" applyNumberFormat="1">
      <alignment horizontal="center" readingOrder="0" shrinkToFit="0" vertical="center" wrapText="1"/>
    </xf>
    <xf borderId="14" fillId="26" fontId="7" numFmtId="4" xfId="0" applyAlignment="1" applyBorder="1" applyFont="1" applyNumberFormat="1">
      <alignment horizontal="right" vertical="center"/>
    </xf>
    <xf borderId="22" fillId="0" fontId="34" numFmtId="0" xfId="0" applyAlignment="1" applyBorder="1" applyFont="1">
      <alignment readingOrder="0" shrinkToFit="0" vertical="center" wrapText="1"/>
    </xf>
    <xf borderId="60" fillId="14" fontId="19" numFmtId="0" xfId="0" applyBorder="1" applyFont="1"/>
    <xf borderId="27" fillId="26" fontId="7" numFmtId="4" xfId="0" applyAlignment="1" applyBorder="1" applyFont="1" applyNumberFormat="1">
      <alignment horizontal="center" vertical="center"/>
    </xf>
    <xf borderId="14" fillId="0" fontId="28" numFmtId="0" xfId="0" applyAlignment="1" applyBorder="1" applyFont="1">
      <alignment horizontal="right" readingOrder="0" shrinkToFit="0" vertical="center" wrapText="1"/>
    </xf>
    <xf borderId="11" fillId="16" fontId="24" numFmtId="168" xfId="0" applyAlignment="1" applyBorder="1" applyFont="1" applyNumberFormat="1">
      <alignment horizontal="center" shrinkToFit="0" vertical="center" wrapText="1"/>
    </xf>
    <xf borderId="28" fillId="26" fontId="7" numFmtId="4" xfId="0" applyAlignment="1" applyBorder="1" applyFont="1" applyNumberFormat="1">
      <alignment horizontal="center" vertical="center"/>
    </xf>
    <xf borderId="14" fillId="0" fontId="4" numFmtId="0" xfId="0" applyAlignment="1" applyBorder="1" applyFont="1">
      <alignment horizontal="right" readingOrder="0" shrinkToFit="0" vertical="center" wrapText="1"/>
    </xf>
    <xf borderId="22" fillId="26" fontId="7" numFmtId="4" xfId="0" applyAlignment="1" applyBorder="1" applyFont="1" applyNumberFormat="1">
      <alignment horizontal="right" vertical="center"/>
    </xf>
    <xf borderId="11" fillId="16" fontId="24" numFmtId="168" xfId="0" applyAlignment="1" applyBorder="1" applyFont="1" applyNumberFormat="1">
      <alignment horizontal="center" readingOrder="0" shrinkToFit="0" vertical="center" wrapText="1"/>
    </xf>
    <xf borderId="14" fillId="27" fontId="4" numFmtId="0" xfId="0" applyAlignment="1" applyBorder="1" applyFill="1" applyFont="1">
      <alignment horizontal="right" readingOrder="0" shrinkToFit="0" vertical="center" wrapText="1"/>
    </xf>
    <xf borderId="0" fillId="0" fontId="4" numFmtId="0" xfId="0" applyAlignment="1" applyFont="1">
      <alignment horizontal="right" readingOrder="0" shrinkToFit="0" vertical="center" wrapText="1"/>
    </xf>
    <xf borderId="0" fillId="0" fontId="34" numFmtId="0" xfId="0" applyAlignment="1" applyFont="1">
      <alignment readingOrder="0" shrinkToFit="0" vertical="center" wrapText="1"/>
    </xf>
    <xf borderId="11" fillId="26" fontId="9" numFmtId="4" xfId="0" applyAlignment="1" applyBorder="1" applyFont="1" applyNumberFormat="1">
      <alignment horizontal="right" vertical="center"/>
    </xf>
    <xf borderId="14" fillId="16" fontId="24" numFmtId="0" xfId="0" applyAlignment="1" applyBorder="1" applyFont="1">
      <alignment readingOrder="0" shrinkToFit="0" vertical="center" wrapText="1"/>
    </xf>
    <xf quotePrefix="1" borderId="0" fillId="0" fontId="34" numFmtId="0" xfId="0" applyAlignment="1" applyFont="1">
      <alignment readingOrder="0" shrinkToFit="0" vertical="center" wrapText="1"/>
    </xf>
    <xf borderId="60" fillId="14" fontId="19" numFmtId="166" xfId="0" applyBorder="1" applyFont="1" applyNumberFormat="1"/>
    <xf borderId="11" fillId="26" fontId="7" numFmtId="0" xfId="0" applyAlignment="1" applyBorder="1" applyFont="1">
      <alignment horizontal="right" vertical="center"/>
    </xf>
    <xf borderId="58" fillId="23" fontId="7" numFmtId="0" xfId="0" applyAlignment="1" applyBorder="1" applyFont="1">
      <alignment horizontal="center" vertical="center"/>
    </xf>
    <xf borderId="11" fillId="28" fontId="7" numFmtId="0" xfId="0" applyAlignment="1" applyBorder="1" applyFill="1" applyFont="1">
      <alignment horizontal="center" vertical="center"/>
    </xf>
    <xf borderId="11" fillId="25" fontId="24" numFmtId="0" xfId="0" applyAlignment="1" applyBorder="1" applyFont="1">
      <alignment horizontal="center" readingOrder="0" shrinkToFit="0" vertical="center" wrapText="1"/>
    </xf>
    <xf borderId="11" fillId="28" fontId="7" numFmtId="0" xfId="0" applyAlignment="1" applyBorder="1" applyFont="1">
      <alignment horizontal="left" vertical="center"/>
    </xf>
    <xf borderId="11" fillId="25" fontId="24" numFmtId="3" xfId="0" applyAlignment="1" applyBorder="1" applyFont="1" applyNumberFormat="1">
      <alignment horizontal="center" readingOrder="0" shrinkToFit="0" vertical="center" wrapText="1"/>
    </xf>
    <xf borderId="11" fillId="28" fontId="7" numFmtId="0" xfId="0" applyAlignment="1" applyBorder="1" applyFont="1">
      <alignment horizontal="left" readingOrder="0" vertical="center"/>
    </xf>
    <xf borderId="11" fillId="28" fontId="7" numFmtId="4" xfId="0" applyAlignment="1" applyBorder="1" applyFont="1" applyNumberFormat="1">
      <alignment horizontal="right" vertical="center"/>
    </xf>
    <xf borderId="11" fillId="25" fontId="24" numFmtId="168" xfId="0" applyAlignment="1" applyBorder="1" applyFont="1" applyNumberFormat="1">
      <alignment horizontal="center" shrinkToFit="0" vertical="center" wrapText="1"/>
    </xf>
    <xf borderId="11" fillId="25" fontId="24" numFmtId="168" xfId="0" applyAlignment="1" applyBorder="1" applyFont="1" applyNumberFormat="1">
      <alignment horizontal="center" readingOrder="0" shrinkToFit="0" vertical="center" wrapText="1"/>
    </xf>
    <xf borderId="14" fillId="28" fontId="7" numFmtId="4" xfId="0" applyAlignment="1" applyBorder="1" applyFont="1" applyNumberFormat="1">
      <alignment horizontal="right" vertical="center"/>
    </xf>
    <xf borderId="27" fillId="28" fontId="7" numFmtId="4" xfId="0" applyAlignment="1" applyBorder="1" applyFont="1" applyNumberFormat="1">
      <alignment horizontal="center" vertical="center"/>
    </xf>
    <xf borderId="14" fillId="25" fontId="24" numFmtId="0" xfId="0" applyAlignment="1" applyBorder="1" applyFont="1">
      <alignment readingOrder="0" shrinkToFit="0" vertical="center" wrapText="1"/>
    </xf>
    <xf borderId="28" fillId="28" fontId="7" numFmtId="4" xfId="0" applyAlignment="1" applyBorder="1" applyFont="1" applyNumberFormat="1">
      <alignment horizontal="center" vertical="center"/>
    </xf>
    <xf borderId="22" fillId="28" fontId="7" numFmtId="4" xfId="0" applyAlignment="1" applyBorder="1" applyFont="1" applyNumberFormat="1">
      <alignment horizontal="right" vertical="center"/>
    </xf>
    <xf borderId="58" fillId="28" fontId="7" numFmtId="0" xfId="0" applyAlignment="1" applyBorder="1" applyFont="1">
      <alignment horizontal="center" vertical="center"/>
    </xf>
    <xf borderId="11" fillId="28" fontId="35" numFmtId="4" xfId="0" applyAlignment="1" applyBorder="1" applyFont="1" applyNumberFormat="1">
      <alignment horizontal="right" readingOrder="0" vertical="center"/>
    </xf>
    <xf borderId="11" fillId="17" fontId="24" numFmtId="0" xfId="0" applyAlignment="1" applyBorder="1" applyFont="1">
      <alignment horizontal="center" readingOrder="0" shrinkToFit="0" vertical="center" wrapText="1"/>
    </xf>
    <xf borderId="11" fillId="17" fontId="7" numFmtId="0" xfId="0" applyAlignment="1" applyBorder="1" applyFont="1">
      <alignment horizontal="left" vertical="center"/>
    </xf>
    <xf borderId="61" fillId="14" fontId="19" numFmtId="166" xfId="0" applyBorder="1" applyFont="1" applyNumberFormat="1"/>
    <xf borderId="11" fillId="17" fontId="24" numFmtId="3" xfId="0" applyAlignment="1" applyBorder="1" applyFont="1" applyNumberFormat="1">
      <alignment horizontal="center" readingOrder="0" shrinkToFit="0" vertical="center" wrapText="1"/>
    </xf>
    <xf borderId="11" fillId="17" fontId="7" numFmtId="0" xfId="0" applyAlignment="1" applyBorder="1" applyFont="1">
      <alignment horizontal="left" readingOrder="0" vertical="center"/>
    </xf>
    <xf borderId="11" fillId="17" fontId="7" numFmtId="0" xfId="0" applyAlignment="1" applyBorder="1" applyFont="1">
      <alignment horizontal="center" vertical="center"/>
    </xf>
    <xf borderId="59" fillId="14" fontId="19" numFmtId="166" xfId="0" applyBorder="1" applyFont="1" applyNumberFormat="1"/>
    <xf borderId="11" fillId="17" fontId="7" numFmtId="4" xfId="0" applyAlignment="1" applyBorder="1" applyFont="1" applyNumberFormat="1">
      <alignment horizontal="right" vertical="center"/>
    </xf>
    <xf borderId="11" fillId="17" fontId="24" numFmtId="168" xfId="0" applyAlignment="1" applyBorder="1" applyFont="1" applyNumberFormat="1">
      <alignment horizontal="center" shrinkToFit="0" vertical="center" wrapText="1"/>
    </xf>
    <xf borderId="0" fillId="3" fontId="2" numFmtId="0" xfId="0" applyAlignment="1" applyFont="1">
      <alignment readingOrder="0"/>
    </xf>
    <xf borderId="62" fillId="14" fontId="19" numFmtId="166" xfId="0" applyBorder="1" applyFont="1" applyNumberFormat="1"/>
    <xf borderId="11" fillId="17" fontId="24" numFmtId="168" xfId="0" applyAlignment="1" applyBorder="1" applyFont="1" applyNumberFormat="1">
      <alignment horizontal="center" readingOrder="0" shrinkToFit="0" vertical="center" wrapText="1"/>
    </xf>
    <xf borderId="14" fillId="17" fontId="7" numFmtId="4" xfId="0" applyAlignment="1" applyBorder="1" applyFont="1" applyNumberFormat="1">
      <alignment horizontal="right" vertical="center"/>
    </xf>
    <xf borderId="14" fillId="17" fontId="24" numFmtId="0" xfId="0" applyAlignment="1" applyBorder="1" applyFont="1">
      <alignment readingOrder="0" shrinkToFit="0" vertical="center" wrapText="1"/>
    </xf>
    <xf borderId="27" fillId="17" fontId="7" numFmtId="4" xfId="0" applyAlignment="1" applyBorder="1" applyFont="1" applyNumberFormat="1">
      <alignment horizontal="center" vertical="center"/>
    </xf>
    <xf borderId="58" fillId="3" fontId="29" numFmtId="0" xfId="0" applyAlignment="1" applyBorder="1" applyFont="1">
      <alignment horizontal="center" readingOrder="0" vertical="center"/>
    </xf>
    <xf borderId="28" fillId="17" fontId="7" numFmtId="4" xfId="0" applyAlignment="1" applyBorder="1" applyFont="1" applyNumberFormat="1">
      <alignment horizontal="center" vertical="center"/>
    </xf>
    <xf borderId="11" fillId="29" fontId="24" numFmtId="0" xfId="0" applyAlignment="1" applyBorder="1" applyFill="1" applyFont="1">
      <alignment horizontal="center" readingOrder="0" shrinkToFit="0" vertical="center" wrapText="1"/>
    </xf>
    <xf borderId="0" fillId="0" fontId="36" numFmtId="0" xfId="0" applyAlignment="1" applyFont="1">
      <alignment readingOrder="0" shrinkToFit="0" wrapText="1"/>
    </xf>
    <xf borderId="22" fillId="17" fontId="7" numFmtId="4" xfId="0" applyAlignment="1" applyBorder="1" applyFont="1" applyNumberFormat="1">
      <alignment horizontal="right" vertical="center"/>
    </xf>
    <xf borderId="0" fillId="0" fontId="36" numFmtId="0" xfId="0" applyAlignment="1" applyFont="1">
      <alignment shrinkToFit="0" wrapText="1"/>
    </xf>
    <xf borderId="11" fillId="29" fontId="24" numFmtId="3" xfId="0" applyAlignment="1" applyBorder="1" applyFont="1" applyNumberFormat="1">
      <alignment horizontal="center" readingOrder="0" shrinkToFit="0" vertical="center" wrapText="1"/>
    </xf>
    <xf borderId="1" fillId="30" fontId="14" numFmtId="0" xfId="0" applyBorder="1" applyFill="1" applyFont="1"/>
    <xf borderId="11" fillId="29" fontId="24" numFmtId="168" xfId="0" applyAlignment="1" applyBorder="1" applyFont="1" applyNumberFormat="1">
      <alignment horizontal="center" shrinkToFit="0" vertical="center" wrapText="1"/>
    </xf>
    <xf borderId="11" fillId="17" fontId="7" numFmtId="0" xfId="0" applyAlignment="1" applyBorder="1" applyFont="1">
      <alignment horizontal="center" readingOrder="0" vertical="center"/>
    </xf>
    <xf borderId="3" fillId="30" fontId="37" numFmtId="0" xfId="0" applyBorder="1" applyFont="1"/>
    <xf borderId="11" fillId="29" fontId="24" numFmtId="168" xfId="0" applyAlignment="1" applyBorder="1" applyFont="1" applyNumberFormat="1">
      <alignment horizontal="center" readingOrder="0" shrinkToFit="0" vertical="center" wrapText="1"/>
    </xf>
    <xf borderId="0" fillId="3" fontId="5" numFmtId="0" xfId="0" applyAlignment="1" applyFont="1">
      <alignment horizontal="center" readingOrder="0" shrinkToFit="0" vertical="center" wrapText="1"/>
    </xf>
    <xf borderId="14" fillId="29" fontId="24" numFmtId="0" xfId="0" applyAlignment="1" applyBorder="1" applyFont="1">
      <alignment readingOrder="0" shrinkToFit="0" vertical="center" wrapText="1"/>
    </xf>
    <xf borderId="63" fillId="31" fontId="38" numFmtId="0" xfId="0" applyAlignment="1" applyBorder="1" applyFill="1" applyFont="1">
      <alignment horizontal="center" readingOrder="0" shrinkToFit="0" vertical="center" wrapText="1"/>
    </xf>
    <xf borderId="1" fillId="30" fontId="37" numFmtId="0" xfId="0" applyBorder="1" applyFont="1"/>
    <xf borderId="11" fillId="7" fontId="24" numFmtId="0" xfId="0" applyAlignment="1" applyBorder="1" applyFont="1">
      <alignment readingOrder="0" shrinkToFit="0" vertical="center" wrapText="1"/>
    </xf>
    <xf borderId="4" fillId="30" fontId="37" numFmtId="0" xfId="0" applyBorder="1" applyFont="1"/>
    <xf borderId="11" fillId="7" fontId="24" numFmtId="3" xfId="0" applyAlignment="1" applyBorder="1" applyFont="1" applyNumberFormat="1">
      <alignment horizontal="center" readingOrder="0" shrinkToFit="0" vertical="center" wrapText="1"/>
    </xf>
    <xf borderId="0" fillId="5" fontId="37" numFmtId="0" xfId="0" applyFont="1"/>
    <xf borderId="0" fillId="3" fontId="5" numFmtId="0" xfId="0" applyAlignment="1" applyFont="1">
      <alignment horizontal="center" readingOrder="0" shrinkToFit="0" vertical="center" wrapText="1"/>
    </xf>
    <xf borderId="11" fillId="7" fontId="24" numFmtId="168" xfId="0" applyAlignment="1" applyBorder="1" applyFont="1" applyNumberFormat="1">
      <alignment horizontal="center" shrinkToFit="0" vertical="center" wrapText="1"/>
    </xf>
    <xf borderId="0" fillId="9" fontId="39" numFmtId="0" xfId="0" applyAlignment="1" applyFont="1">
      <alignment readingOrder="0"/>
    </xf>
    <xf borderId="19" fillId="29" fontId="16" numFmtId="0" xfId="0" applyBorder="1" applyFont="1"/>
    <xf borderId="11" fillId="7" fontId="24" numFmtId="168" xfId="0" applyAlignment="1" applyBorder="1" applyFont="1" applyNumberFormat="1">
      <alignment horizontal="center" readingOrder="0" shrinkToFit="0" vertical="center" wrapText="1"/>
    </xf>
    <xf borderId="0" fillId="9" fontId="39" numFmtId="0" xfId="0" applyFont="1"/>
    <xf borderId="20" fillId="29" fontId="16" numFmtId="0" xfId="0" applyBorder="1" applyFont="1"/>
    <xf borderId="11" fillId="7" fontId="24" numFmtId="0" xfId="0" applyAlignment="1" applyBorder="1" applyFont="1">
      <alignment horizontal="center" readingOrder="0" shrinkToFit="0" vertical="center" wrapText="1"/>
    </xf>
    <xf borderId="0" fillId="9" fontId="39" numFmtId="0" xfId="0" applyAlignment="1" applyFont="1">
      <alignment horizontal="center"/>
    </xf>
    <xf borderId="20" fillId="29" fontId="16" numFmtId="166" xfId="0" applyBorder="1" applyFont="1" applyNumberFormat="1"/>
    <xf borderId="0" fillId="9" fontId="39" numFmtId="166" xfId="0" applyAlignment="1" applyFont="1" applyNumberFormat="1">
      <alignment horizontal="right"/>
    </xf>
    <xf borderId="11" fillId="17" fontId="9" numFmtId="4" xfId="0" applyAlignment="1" applyBorder="1" applyFont="1" applyNumberFormat="1">
      <alignment horizontal="right" vertical="center"/>
    </xf>
    <xf borderId="14" fillId="7" fontId="24" numFmtId="0" xfId="0" applyAlignment="1" applyBorder="1" applyFont="1">
      <alignment readingOrder="0" shrinkToFit="0" vertical="center" wrapText="1"/>
    </xf>
    <xf borderId="58" fillId="28" fontId="7" numFmtId="0" xfId="0" applyAlignment="1" applyBorder="1" applyFont="1">
      <alignment horizontal="center" vertical="center"/>
    </xf>
    <xf borderId="64" fillId="32" fontId="40" numFmtId="0" xfId="0" applyAlignment="1" applyBorder="1" applyFill="1" applyFont="1">
      <alignment horizontal="center" readingOrder="0" shrinkToFit="0" vertical="center" wrapText="1"/>
    </xf>
    <xf borderId="58" fillId="33" fontId="7" numFmtId="0" xfId="0" applyAlignment="1" applyBorder="1" applyFill="1" applyFont="1">
      <alignment horizontal="left" vertical="center"/>
    </xf>
    <xf borderId="23" fillId="29" fontId="16" numFmtId="0" xfId="0" applyBorder="1" applyFont="1"/>
    <xf borderId="65" fillId="9" fontId="39" numFmtId="166" xfId="0" applyAlignment="1" applyBorder="1" applyFont="1" applyNumberFormat="1">
      <alignment horizontal="right"/>
    </xf>
    <xf borderId="19" fillId="29" fontId="19" numFmtId="166" xfId="0" applyBorder="1" applyFont="1" applyNumberFormat="1"/>
    <xf borderId="11" fillId="34" fontId="41" numFmtId="0" xfId="0" applyAlignment="1" applyBorder="1" applyFill="1" applyFont="1">
      <alignment readingOrder="0" shrinkToFit="0" vertical="center" wrapText="1"/>
    </xf>
    <xf borderId="26" fillId="29" fontId="19" numFmtId="166" xfId="0" applyBorder="1" applyFont="1" applyNumberFormat="1"/>
    <xf borderId="58" fillId="33" fontId="7" numFmtId="0" xfId="0" applyAlignment="1" applyBorder="1" applyFont="1">
      <alignment horizontal="left" readingOrder="0" vertical="center"/>
    </xf>
    <xf borderId="5" fillId="29" fontId="16" numFmtId="166" xfId="0" applyBorder="1" applyFont="1" applyNumberFormat="1"/>
    <xf borderId="66" fillId="9" fontId="39" numFmtId="166" xfId="0" applyAlignment="1" applyBorder="1" applyFont="1" applyNumberFormat="1">
      <alignment horizontal="right"/>
    </xf>
    <xf borderId="0" fillId="29" fontId="16" numFmtId="0" xfId="0" applyAlignment="1" applyFont="1">
      <alignment horizontal="center"/>
    </xf>
    <xf borderId="58" fillId="33" fontId="7" numFmtId="0" xfId="0" applyAlignment="1" applyBorder="1" applyFont="1">
      <alignment horizontal="center" vertical="center"/>
    </xf>
    <xf borderId="0" fillId="29" fontId="6" numFmtId="0" xfId="0" applyFont="1"/>
    <xf borderId="0" fillId="0" fontId="6" numFmtId="0" xfId="0" applyAlignment="1" applyFont="1">
      <alignment readingOrder="0"/>
    </xf>
    <xf borderId="58" fillId="33" fontId="7" numFmtId="4" xfId="0" applyAlignment="1" applyBorder="1" applyFont="1" applyNumberFormat="1">
      <alignment horizontal="right" vertical="center"/>
    </xf>
    <xf borderId="0" fillId="29" fontId="6" numFmtId="0" xfId="0" applyAlignment="1" applyFont="1">
      <alignment readingOrder="0"/>
    </xf>
    <xf borderId="0" fillId="0" fontId="6" numFmtId="0" xfId="0" applyAlignment="1" applyFont="1">
      <alignment horizontal="center" readingOrder="0"/>
    </xf>
    <xf borderId="11" fillId="34" fontId="41" numFmtId="3" xfId="0" applyAlignment="1" applyBorder="1" applyFont="1" applyNumberFormat="1">
      <alignment horizontal="center" shrinkToFit="0" vertical="center" wrapText="1"/>
    </xf>
    <xf borderId="7" fillId="29" fontId="6" numFmtId="0" xfId="0" applyBorder="1" applyFont="1"/>
    <xf borderId="0" fillId="0" fontId="6" numFmtId="166" xfId="0" applyAlignment="1" applyFont="1" applyNumberFormat="1">
      <alignment horizontal="right" readingOrder="0"/>
    </xf>
    <xf borderId="67" fillId="33" fontId="7" numFmtId="4" xfId="0" applyAlignment="1" applyBorder="1" applyFont="1" applyNumberFormat="1">
      <alignment horizontal="right" vertical="center"/>
    </xf>
    <xf borderId="11" fillId="34" fontId="41" numFmtId="168" xfId="0" applyAlignment="1" applyBorder="1" applyFont="1" applyNumberFormat="1">
      <alignment horizontal="center" shrinkToFit="0" vertical="center" wrapText="1"/>
    </xf>
    <xf borderId="68" fillId="33" fontId="7" numFmtId="4" xfId="0" applyAlignment="1" applyBorder="1" applyFont="1" applyNumberFormat="1">
      <alignment horizontal="center" vertical="center"/>
    </xf>
    <xf borderId="69" fillId="33" fontId="7" numFmtId="4" xfId="0" applyAlignment="1" applyBorder="1" applyFont="1" applyNumberFormat="1">
      <alignment horizontal="center" vertical="center"/>
    </xf>
    <xf borderId="11" fillId="34" fontId="41" numFmtId="0" xfId="0" applyAlignment="1" applyBorder="1" applyFont="1">
      <alignment horizontal="center" readingOrder="0" shrinkToFit="0" vertical="center" wrapText="1"/>
    </xf>
    <xf borderId="70" fillId="33" fontId="7" numFmtId="4" xfId="0" applyAlignment="1" applyBorder="1" applyFont="1" applyNumberFormat="1">
      <alignment horizontal="right" vertical="center"/>
    </xf>
    <xf borderId="65" fillId="0" fontId="6" numFmtId="166" xfId="0" applyAlignment="1" applyBorder="1" applyFont="1" applyNumberFormat="1">
      <alignment horizontal="right"/>
    </xf>
    <xf borderId="71" fillId="35" fontId="7" numFmtId="0" xfId="0" applyAlignment="1" applyBorder="1" applyFill="1" applyFont="1">
      <alignment horizontal="center" readingOrder="0" vertical="center"/>
    </xf>
    <xf borderId="72" fillId="35" fontId="7" numFmtId="0" xfId="0" applyAlignment="1" applyBorder="1" applyFont="1">
      <alignment horizontal="left" readingOrder="0" vertical="center"/>
    </xf>
    <xf borderId="11" fillId="36" fontId="41" numFmtId="0" xfId="0" applyAlignment="1" applyBorder="1" applyFill="1" applyFont="1">
      <alignment shrinkToFit="0" vertical="center" wrapText="1"/>
    </xf>
    <xf borderId="66" fillId="0" fontId="6" numFmtId="166" xfId="0" applyAlignment="1" applyBorder="1" applyFont="1" applyNumberFormat="1">
      <alignment horizontal="right"/>
    </xf>
    <xf borderId="72" fillId="35" fontId="7" numFmtId="0" xfId="0" applyAlignment="1" applyBorder="1" applyFont="1">
      <alignment horizontal="center" readingOrder="0" vertical="center"/>
    </xf>
    <xf borderId="72" fillId="35" fontId="7" numFmtId="4" xfId="0" applyAlignment="1" applyBorder="1" applyFont="1" applyNumberFormat="1">
      <alignment horizontal="right" vertical="center"/>
    </xf>
    <xf borderId="12" fillId="29" fontId="16" numFmtId="166" xfId="0" applyBorder="1" applyFont="1" applyNumberFormat="1"/>
    <xf borderId="64" fillId="36" fontId="41" numFmtId="0" xfId="0" applyAlignment="1" applyBorder="1" applyFont="1">
      <alignment horizontal="center" readingOrder="0" shrinkToFit="0" vertical="center" wrapText="1"/>
    </xf>
    <xf borderId="72" fillId="35" fontId="7" numFmtId="4" xfId="0" applyAlignment="1" applyBorder="1" applyFont="1" applyNumberFormat="1">
      <alignment horizontal="right" readingOrder="0" vertical="center"/>
    </xf>
    <xf borderId="15" fillId="29" fontId="16" numFmtId="0" xfId="0" applyAlignment="1" applyBorder="1" applyFont="1">
      <alignment horizontal="center"/>
    </xf>
    <xf borderId="15" fillId="29" fontId="6" numFmtId="0" xfId="0" applyBorder="1" applyFont="1"/>
    <xf borderId="11" fillId="36" fontId="41" numFmtId="0" xfId="0" applyAlignment="1" applyBorder="1" applyFont="1">
      <alignment readingOrder="0" shrinkToFit="0" vertical="center" wrapText="1"/>
    </xf>
    <xf borderId="15" fillId="29" fontId="6" numFmtId="0" xfId="0" applyAlignment="1" applyBorder="1" applyFont="1">
      <alignment readingOrder="0"/>
    </xf>
    <xf borderId="16" fillId="29" fontId="6" numFmtId="0" xfId="0" applyBorder="1" applyFont="1"/>
    <xf borderId="72" fillId="35" fontId="7" numFmtId="4" xfId="0" applyAlignment="1" applyBorder="1" applyFont="1" applyNumberFormat="1">
      <alignment horizontal="center" readingOrder="0" vertical="center"/>
    </xf>
    <xf borderId="59" fillId="37" fontId="19" numFmtId="0" xfId="0" applyBorder="1" applyFill="1" applyFont="1"/>
    <xf borderId="72" fillId="35" fontId="7" numFmtId="4" xfId="0" applyAlignment="1" applyBorder="1" applyFont="1" applyNumberFormat="1">
      <alignment horizontal="center" vertical="center"/>
    </xf>
    <xf borderId="60" fillId="37" fontId="19" numFmtId="0" xfId="0" applyBorder="1" applyFont="1"/>
    <xf borderId="73" fillId="35" fontId="7" numFmtId="4" xfId="0" applyAlignment="1" applyBorder="1" applyFont="1" applyNumberFormat="1">
      <alignment horizontal="right" vertical="center"/>
    </xf>
    <xf borderId="11" fillId="36" fontId="41" numFmtId="3" xfId="0" applyAlignment="1" applyBorder="1" applyFont="1" applyNumberFormat="1">
      <alignment horizontal="center" shrinkToFit="0" vertical="center" wrapText="1"/>
    </xf>
    <xf borderId="0" fillId="0" fontId="6" numFmtId="0" xfId="0" applyAlignment="1" applyFont="1">
      <alignment horizontal="center"/>
    </xf>
    <xf borderId="0" fillId="0" fontId="6" numFmtId="166" xfId="0" applyAlignment="1" applyFont="1" applyNumberFormat="1">
      <alignment horizontal="right"/>
    </xf>
    <xf borderId="60" fillId="37" fontId="19" numFmtId="166" xfId="0" applyBorder="1" applyFont="1" applyNumberFormat="1"/>
    <xf borderId="74" fillId="3" fontId="5" numFmtId="0" xfId="0" applyAlignment="1" applyBorder="1" applyFont="1">
      <alignment horizontal="center" readingOrder="0"/>
    </xf>
    <xf borderId="11" fillId="36" fontId="41" numFmtId="168" xfId="0" applyAlignment="1" applyBorder="1" applyFont="1" applyNumberFormat="1">
      <alignment horizontal="center" shrinkToFit="0" vertical="center" wrapText="1"/>
    </xf>
    <xf borderId="11" fillId="36" fontId="41" numFmtId="0" xfId="0" applyAlignment="1" applyBorder="1" applyFont="1">
      <alignment horizontal="center" readingOrder="0" shrinkToFit="0" vertical="center" wrapText="1"/>
    </xf>
    <xf borderId="75" fillId="3" fontId="5" numFmtId="4" xfId="0" applyAlignment="1" applyBorder="1" applyFont="1" applyNumberFormat="1">
      <alignment horizontal="center"/>
    </xf>
    <xf borderId="76" fillId="3" fontId="5" numFmtId="4" xfId="0" applyAlignment="1" applyBorder="1" applyFont="1" applyNumberFormat="1">
      <alignment horizontal="center"/>
    </xf>
    <xf borderId="61" fillId="37" fontId="19" numFmtId="166" xfId="0" applyBorder="1" applyFont="1" applyNumberFormat="1"/>
    <xf borderId="59" fillId="37" fontId="19" numFmtId="166" xfId="0" applyBorder="1" applyFont="1" applyNumberFormat="1"/>
    <xf borderId="15" fillId="38" fontId="20" numFmtId="0" xfId="0" applyBorder="1" applyFill="1" applyFont="1"/>
    <xf borderId="62" fillId="37" fontId="19" numFmtId="166" xfId="0" applyBorder="1" applyFont="1" applyNumberFormat="1"/>
    <xf borderId="15" fillId="38" fontId="20" numFmtId="0" xfId="0" applyAlignment="1" applyBorder="1" applyFont="1">
      <alignment readingOrder="0"/>
    </xf>
    <xf borderId="15" fillId="38" fontId="20" numFmtId="0" xfId="0" applyAlignment="1" applyBorder="1" applyFont="1">
      <alignment horizontal="center"/>
    </xf>
    <xf borderId="40" fillId="39" fontId="38" numFmtId="0" xfId="0" applyAlignment="1" applyBorder="1" applyFill="1" applyFont="1">
      <alignment horizontal="center" readingOrder="0" shrinkToFit="0" vertical="center" wrapText="1"/>
    </xf>
    <xf borderId="15" fillId="38" fontId="20" numFmtId="166" xfId="0" applyAlignment="1" applyBorder="1" applyFont="1" applyNumberFormat="1">
      <alignment horizontal="right"/>
    </xf>
    <xf borderId="1" fillId="40" fontId="14" numFmtId="0" xfId="0" applyBorder="1" applyFill="1" applyFont="1"/>
    <xf borderId="3" fillId="40" fontId="37" numFmtId="0" xfId="0" applyBorder="1" applyFont="1"/>
    <xf borderId="77" fillId="3" fontId="5" numFmtId="4" xfId="0" applyAlignment="1" applyBorder="1" applyFont="1" applyNumberFormat="1">
      <alignment horizontal="center"/>
    </xf>
    <xf borderId="1" fillId="40" fontId="37" numFmtId="0" xfId="0" applyBorder="1" applyFont="1"/>
    <xf borderId="4" fillId="40" fontId="37" numFmtId="0" xfId="0" applyBorder="1" applyFont="1"/>
    <xf borderId="78" fillId="6" fontId="42" numFmtId="4" xfId="0" applyAlignment="1" applyBorder="1" applyFont="1" applyNumberFormat="1">
      <alignment horizontal="center"/>
    </xf>
    <xf borderId="19" fillId="41" fontId="16" numFmtId="0" xfId="0" applyBorder="1" applyFill="1" applyFont="1"/>
    <xf borderId="20" fillId="41" fontId="16" numFmtId="0" xfId="0" applyBorder="1" applyFont="1"/>
    <xf borderId="40" fillId="39" fontId="24" numFmtId="172" xfId="0" applyAlignment="1" applyBorder="1" applyFont="1" applyNumberFormat="1">
      <alignment horizontal="center" shrinkToFit="0" vertical="center" wrapText="1"/>
    </xf>
    <xf borderId="79" fillId="6" fontId="42" numFmtId="4" xfId="0" applyAlignment="1" applyBorder="1" applyFont="1" applyNumberFormat="1">
      <alignment horizontal="center"/>
    </xf>
    <xf borderId="80" fillId="38" fontId="20" numFmtId="166" xfId="0" applyAlignment="1" applyBorder="1" applyFont="1" applyNumberFormat="1">
      <alignment horizontal="right"/>
    </xf>
    <xf borderId="20" fillId="42" fontId="43" numFmtId="166" xfId="0" applyAlignment="1" applyBorder="1" applyFill="1" applyFont="1" applyNumberFormat="1">
      <alignment horizontal="right" vertical="bottom"/>
    </xf>
    <xf borderId="20" fillId="41" fontId="16" numFmtId="166" xfId="0" applyBorder="1" applyFont="1" applyNumberFormat="1"/>
    <xf borderId="81" fillId="38" fontId="20" numFmtId="166" xfId="0" applyAlignment="1" applyBorder="1" applyFont="1" applyNumberFormat="1">
      <alignment horizontal="right"/>
    </xf>
    <xf borderId="40" fillId="39" fontId="24" numFmtId="173" xfId="0" applyAlignment="1" applyBorder="1" applyFont="1" applyNumberFormat="1">
      <alignment horizontal="center" shrinkToFit="0" vertical="center" wrapText="1"/>
    </xf>
    <xf borderId="82" fillId="43" fontId="20" numFmtId="4" xfId="0" applyAlignment="1" applyBorder="1" applyFill="1" applyFont="1" applyNumberFormat="1">
      <alignment horizontal="center"/>
    </xf>
    <xf borderId="23" fillId="41" fontId="16" numFmtId="0" xfId="0" applyBorder="1" applyFont="1"/>
    <xf borderId="0" fillId="44" fontId="44" numFmtId="0" xfId="0" applyAlignment="1" applyFill="1" applyFont="1">
      <alignment horizontal="right" readingOrder="0"/>
    </xf>
    <xf borderId="0" fillId="45" fontId="39" numFmtId="0" xfId="0" applyAlignment="1" applyFill="1" applyFont="1">
      <alignment readingOrder="0"/>
    </xf>
    <xf borderId="0" fillId="44" fontId="44" numFmtId="4" xfId="0" applyAlignment="1" applyFont="1" applyNumberFormat="1">
      <alignment horizontal="left" readingOrder="0"/>
    </xf>
    <xf borderId="40" fillId="39" fontId="24" numFmtId="168" xfId="0" applyAlignment="1" applyBorder="1" applyFont="1" applyNumberFormat="1">
      <alignment horizontal="center" shrinkToFit="0" vertical="center" wrapText="1"/>
    </xf>
    <xf borderId="19" fillId="41" fontId="19" numFmtId="166" xfId="0" applyBorder="1" applyFont="1" applyNumberFormat="1"/>
    <xf borderId="0" fillId="45" fontId="39" numFmtId="0" xfId="0" applyFont="1"/>
    <xf borderId="0" fillId="0" fontId="45" numFmtId="4" xfId="0" applyFont="1" applyNumberFormat="1"/>
    <xf borderId="40" fillId="39" fontId="24" numFmtId="0" xfId="0" applyAlignment="1" applyBorder="1" applyFont="1">
      <alignment readingOrder="0" shrinkToFit="0" vertical="center" wrapText="1"/>
    </xf>
    <xf borderId="0" fillId="45" fontId="39" numFmtId="0" xfId="0" applyAlignment="1" applyFont="1">
      <alignment horizontal="center"/>
    </xf>
    <xf borderId="26" fillId="41" fontId="19" numFmtId="166" xfId="0" applyBorder="1" applyFont="1" applyNumberFormat="1"/>
    <xf borderId="0" fillId="45" fontId="39" numFmtId="166" xfId="0" applyAlignment="1" applyFont="1" applyNumberFormat="1">
      <alignment horizontal="right"/>
    </xf>
    <xf borderId="5" fillId="41" fontId="16" numFmtId="166" xfId="0" applyBorder="1" applyFont="1" applyNumberFormat="1"/>
    <xf borderId="0" fillId="41" fontId="16" numFmtId="0" xfId="0" applyAlignment="1" applyFont="1">
      <alignment horizontal="center"/>
    </xf>
    <xf borderId="0" fillId="41" fontId="6" numFmtId="0" xfId="0" applyFont="1"/>
    <xf borderId="65" fillId="45" fontId="39" numFmtId="166" xfId="0" applyAlignment="1" applyBorder="1" applyFont="1" applyNumberFormat="1">
      <alignment horizontal="right"/>
    </xf>
    <xf borderId="0" fillId="41" fontId="6" numFmtId="0" xfId="0" applyAlignment="1" applyFont="1">
      <alignment readingOrder="0"/>
    </xf>
    <xf borderId="66" fillId="45" fontId="39" numFmtId="166" xfId="0" applyAlignment="1" applyBorder="1" applyFont="1" applyNumberFormat="1">
      <alignment horizontal="right"/>
    </xf>
    <xf borderId="7" fillId="41" fontId="6" numFmtId="0" xfId="0" applyBorder="1" applyFont="1"/>
    <xf borderId="20" fillId="41" fontId="43" numFmtId="166" xfId="0" applyAlignment="1" applyBorder="1" applyFont="1" applyNumberFormat="1">
      <alignment horizontal="right" vertical="bottom"/>
    </xf>
    <xf borderId="83" fillId="0" fontId="46" numFmtId="4" xfId="0" applyAlignment="1" applyBorder="1" applyFont="1" applyNumberFormat="1">
      <alignment horizontal="center"/>
    </xf>
    <xf borderId="40" fillId="36" fontId="41" numFmtId="0" xfId="0" applyAlignment="1" applyBorder="1" applyFont="1">
      <alignment readingOrder="0" shrinkToFit="0" vertical="center" wrapText="1"/>
    </xf>
    <xf borderId="84" fillId="0" fontId="46" numFmtId="4" xfId="0" applyAlignment="1" applyBorder="1" applyFont="1" applyNumberFormat="1">
      <alignment horizontal="center"/>
    </xf>
    <xf borderId="40" fillId="36" fontId="41" numFmtId="172" xfId="0" applyAlignment="1" applyBorder="1" applyFont="1" applyNumberFormat="1">
      <alignment horizontal="center" shrinkToFit="0" vertical="center" wrapText="1"/>
    </xf>
    <xf borderId="0" fillId="0" fontId="47" numFmtId="0" xfId="0" applyAlignment="1" applyFont="1">
      <alignment horizontal="center" readingOrder="0"/>
    </xf>
    <xf borderId="40" fillId="36" fontId="41" numFmtId="0" xfId="0" applyAlignment="1" applyBorder="1" applyFont="1">
      <alignment horizontal="center" shrinkToFit="0" vertical="center" wrapText="1"/>
    </xf>
    <xf borderId="0" fillId="0" fontId="47" numFmtId="0" xfId="0" applyAlignment="1" applyFont="1">
      <alignment horizontal="left" readingOrder="0" shrinkToFit="0" wrapText="0"/>
    </xf>
    <xf borderId="40" fillId="36" fontId="41" numFmtId="168" xfId="0" applyAlignment="1" applyBorder="1" applyFont="1" applyNumberFormat="1">
      <alignment horizontal="center" shrinkToFit="0" vertical="center" wrapText="1"/>
    </xf>
    <xf borderId="0" fillId="36" fontId="41" numFmtId="0" xfId="0" applyAlignment="1" applyFont="1">
      <alignment shrinkToFit="0" vertical="center" wrapText="1"/>
    </xf>
    <xf borderId="85" fillId="3" fontId="48" numFmtId="0" xfId="0" applyAlignment="1" applyBorder="1" applyFont="1">
      <alignment horizontal="center" readingOrder="0" vertical="center"/>
    </xf>
    <xf borderId="86" fillId="3" fontId="49" numFmtId="0" xfId="0" applyAlignment="1" applyBorder="1" applyFont="1">
      <alignment horizontal="center" readingOrder="0" vertical="center"/>
    </xf>
    <xf borderId="40" fillId="8" fontId="38" numFmtId="0" xfId="0" applyAlignment="1" applyBorder="1" applyFont="1">
      <alignment horizontal="center" readingOrder="0" shrinkToFit="0" vertical="center" wrapText="1"/>
    </xf>
    <xf borderId="87" fillId="3" fontId="48" numFmtId="0" xfId="0" applyAlignment="1" applyBorder="1" applyFont="1">
      <alignment horizontal="center" readingOrder="0" vertical="center"/>
    </xf>
    <xf borderId="40" fillId="46" fontId="24" numFmtId="3" xfId="0" applyAlignment="1" applyBorder="1" applyFill="1" applyFont="1" applyNumberFormat="1">
      <alignment horizontal="center" readingOrder="0" shrinkToFit="0" vertical="center" wrapText="1"/>
    </xf>
    <xf borderId="85" fillId="3" fontId="49" numFmtId="0" xfId="0" applyAlignment="1" applyBorder="1" applyFont="1">
      <alignment horizontal="center" readingOrder="0" vertical="center"/>
    </xf>
    <xf borderId="40" fillId="46" fontId="24" numFmtId="168" xfId="0" applyAlignment="1" applyBorder="1" applyFont="1" applyNumberFormat="1">
      <alignment horizontal="center" shrinkToFit="0" vertical="center" wrapText="1"/>
    </xf>
    <xf borderId="58" fillId="8" fontId="7" numFmtId="0" xfId="0" applyAlignment="1" applyBorder="1" applyFont="1">
      <alignment horizontal="center" vertical="center"/>
    </xf>
    <xf borderId="40" fillId="46" fontId="24" numFmtId="0" xfId="0" applyAlignment="1" applyBorder="1" applyFont="1">
      <alignment horizontal="center" readingOrder="0" shrinkToFit="0" vertical="center" wrapText="1"/>
    </xf>
    <xf borderId="88" fillId="8" fontId="7" numFmtId="0" xfId="0" applyAlignment="1" applyBorder="1" applyFont="1">
      <alignment horizontal="left" readingOrder="0" shrinkToFit="0" vertical="center" wrapText="0"/>
    </xf>
    <xf borderId="40" fillId="46" fontId="24" numFmtId="0" xfId="0" applyAlignment="1" applyBorder="1" applyFont="1">
      <alignment readingOrder="0" shrinkToFit="0" vertical="center" wrapText="1"/>
    </xf>
    <xf borderId="89" fillId="8" fontId="7" numFmtId="0" xfId="0" applyAlignment="1" applyBorder="1" applyFont="1">
      <alignment horizontal="left" readingOrder="0" shrinkToFit="0" vertical="center" wrapText="0"/>
    </xf>
    <xf borderId="89" fillId="8" fontId="7" numFmtId="0" xfId="0" applyAlignment="1" applyBorder="1" applyFont="1">
      <alignment horizontal="center" readingOrder="0" vertical="center"/>
    </xf>
    <xf borderId="0" fillId="40" fontId="5" numFmtId="0" xfId="0" applyAlignment="1" applyFont="1">
      <alignment readingOrder="0"/>
    </xf>
    <xf borderId="40" fillId="32" fontId="50" numFmtId="0" xfId="0" applyAlignment="1" applyBorder="1" applyFont="1">
      <alignment horizontal="center" readingOrder="0" shrinkToFit="0" vertical="center" wrapText="1"/>
    </xf>
    <xf borderId="0" fillId="40" fontId="5" numFmtId="0" xfId="0" applyFont="1"/>
    <xf borderId="0" fillId="40" fontId="5" numFmtId="0" xfId="0" applyAlignment="1" applyFont="1">
      <alignment horizontal="center"/>
    </xf>
    <xf borderId="22" fillId="8" fontId="51" numFmtId="9" xfId="0" applyAlignment="1" applyBorder="1" applyFont="1" applyNumberFormat="1">
      <alignment horizontal="center" readingOrder="0" vertical="center"/>
    </xf>
    <xf borderId="0" fillId="40" fontId="5" numFmtId="166" xfId="0" applyAlignment="1" applyFont="1" applyNumberFormat="1">
      <alignment horizontal="right"/>
    </xf>
    <xf borderId="88" fillId="8" fontId="52" numFmtId="9" xfId="0" applyAlignment="1" applyBorder="1" applyFont="1" applyNumberFormat="1">
      <alignment horizontal="center" readingOrder="0" vertical="center"/>
    </xf>
    <xf borderId="40" fillId="31" fontId="38" numFmtId="0" xfId="0" applyAlignment="1" applyBorder="1" applyFont="1">
      <alignment horizontal="center" readingOrder="0" shrinkToFit="0" vertical="center" wrapText="1"/>
    </xf>
    <xf borderId="65" fillId="40" fontId="5" numFmtId="166" xfId="0" applyAlignment="1" applyBorder="1" applyFont="1" applyNumberFormat="1">
      <alignment horizontal="right"/>
    </xf>
    <xf borderId="66" fillId="40" fontId="5" numFmtId="166" xfId="0" applyAlignment="1" applyBorder="1" applyFont="1" applyNumberFormat="1">
      <alignment horizontal="right"/>
    </xf>
    <xf borderId="85" fillId="8" fontId="7" numFmtId="0" xfId="0" applyAlignment="1" applyBorder="1" applyFont="1">
      <alignment horizontal="center" vertical="center"/>
    </xf>
    <xf borderId="40" fillId="47" fontId="13" numFmtId="0" xfId="0" applyAlignment="1" applyBorder="1" applyFill="1" applyFont="1">
      <alignment horizontal="center" readingOrder="0" shrinkToFit="0" vertical="center" wrapText="1"/>
    </xf>
    <xf borderId="88" fillId="11" fontId="7" numFmtId="0" xfId="0" applyAlignment="1" applyBorder="1" applyFont="1">
      <alignment horizontal="left" readingOrder="0" vertical="center"/>
    </xf>
    <xf borderId="89" fillId="11" fontId="7" numFmtId="0" xfId="0" applyAlignment="1" applyBorder="1" applyFont="1">
      <alignment horizontal="left" readingOrder="0" vertical="center"/>
    </xf>
    <xf borderId="12" fillId="41" fontId="16" numFmtId="166" xfId="0" applyBorder="1" applyFont="1" applyNumberFormat="1"/>
    <xf borderId="89" fillId="11" fontId="7" numFmtId="0" xfId="0" applyAlignment="1" applyBorder="1" applyFont="1">
      <alignment horizontal="center" readingOrder="0" vertical="center"/>
    </xf>
    <xf borderId="15" fillId="41" fontId="16" numFmtId="0" xfId="0" applyAlignment="1" applyBorder="1" applyFont="1">
      <alignment horizontal="center"/>
    </xf>
    <xf borderId="15" fillId="41" fontId="6" numFmtId="0" xfId="0" applyBorder="1" applyFont="1"/>
    <xf borderId="22" fillId="11" fontId="51" numFmtId="3" xfId="0" applyAlignment="1" applyBorder="1" applyFont="1" applyNumberFormat="1">
      <alignment horizontal="center" readingOrder="0" vertical="center"/>
    </xf>
    <xf borderId="15" fillId="41" fontId="6" numFmtId="0" xfId="0" applyAlignment="1" applyBorder="1" applyFont="1">
      <alignment readingOrder="0"/>
    </xf>
    <xf borderId="88" fillId="11" fontId="18" numFmtId="3" xfId="0" applyAlignment="1" applyBorder="1" applyFont="1" applyNumberFormat="1">
      <alignment horizontal="center" readingOrder="0" vertical="center"/>
    </xf>
    <xf borderId="16" fillId="41" fontId="6" numFmtId="0" xfId="0" applyBorder="1" applyFont="1"/>
    <xf borderId="40" fillId="36" fontId="41" numFmtId="3" xfId="0" applyAlignment="1" applyBorder="1" applyFont="1" applyNumberFormat="1">
      <alignment horizontal="center" shrinkToFit="0" vertical="center" wrapText="1"/>
    </xf>
    <xf borderId="59" fillId="48" fontId="19" numFmtId="0" xfId="0" applyBorder="1" applyFill="1" applyFont="1"/>
    <xf borderId="88" fillId="11" fontId="18" numFmtId="0" xfId="0" applyAlignment="1" applyBorder="1" applyFont="1">
      <alignment horizontal="center" readingOrder="0" vertical="center"/>
    </xf>
    <xf borderId="60" fillId="48" fontId="19" numFmtId="0" xfId="0" applyBorder="1" applyFont="1"/>
    <xf borderId="40" fillId="36" fontId="41" numFmtId="0" xfId="0" applyAlignment="1" applyBorder="1" applyFont="1">
      <alignment horizontal="center" readingOrder="0" shrinkToFit="0" vertical="center" wrapText="1"/>
    </xf>
    <xf borderId="58" fillId="13" fontId="27" numFmtId="0" xfId="0" applyAlignment="1" applyBorder="1" applyFont="1">
      <alignment horizontal="center" vertical="center"/>
    </xf>
    <xf borderId="60" fillId="48" fontId="19" numFmtId="166" xfId="0" applyBorder="1" applyFont="1" applyNumberFormat="1"/>
    <xf borderId="88" fillId="13" fontId="27" numFmtId="0" xfId="0" applyAlignment="1" applyBorder="1" applyFont="1">
      <alignment horizontal="left" readingOrder="0" shrinkToFit="0" vertical="center" wrapText="0"/>
    </xf>
    <xf borderId="89" fillId="13" fontId="27" numFmtId="0" xfId="0" applyAlignment="1" applyBorder="1" applyFont="1">
      <alignment horizontal="left" readingOrder="0" shrinkToFit="0" vertical="center" wrapText="0"/>
    </xf>
    <xf borderId="89" fillId="13" fontId="27" numFmtId="0" xfId="0" applyAlignment="1" applyBorder="1" applyFont="1">
      <alignment horizontal="center" readingOrder="0" vertical="center"/>
    </xf>
    <xf borderId="0" fillId="36" fontId="53" numFmtId="0" xfId="0" applyAlignment="1" applyFont="1">
      <alignment readingOrder="0" shrinkToFit="0" vertical="center" wrapText="1"/>
    </xf>
    <xf borderId="22" fillId="13" fontId="48" numFmtId="0" xfId="0" applyAlignment="1" applyBorder="1" applyFont="1">
      <alignment horizontal="center" readingOrder="0" vertical="center"/>
    </xf>
    <xf borderId="67" fillId="13" fontId="13" numFmtId="0" xfId="0" applyAlignment="1" applyBorder="1" applyFont="1">
      <alignment horizontal="center" readingOrder="0" shrinkToFit="0" vertical="center" wrapText="1"/>
    </xf>
    <xf borderId="88" fillId="13" fontId="27" numFmtId="9" xfId="0" applyAlignment="1" applyBorder="1" applyFont="1" applyNumberFormat="1">
      <alignment horizontal="center" readingOrder="0" vertical="center"/>
    </xf>
    <xf borderId="90" fillId="13" fontId="13" numFmtId="0" xfId="0" applyAlignment="1" applyBorder="1" applyFont="1">
      <alignment horizontal="center" readingOrder="0" shrinkToFit="0" vertical="center" wrapText="1"/>
    </xf>
    <xf borderId="22" fillId="13" fontId="48" numFmtId="9" xfId="0" applyAlignment="1" applyBorder="1" applyFont="1" applyNumberFormat="1">
      <alignment horizontal="center" readingOrder="0" vertical="center"/>
    </xf>
    <xf borderId="61" fillId="48" fontId="19" numFmtId="166" xfId="0" applyBorder="1" applyFont="1" applyNumberFormat="1"/>
    <xf borderId="70" fillId="13" fontId="13" numFmtId="0" xfId="0" applyAlignment="1" applyBorder="1" applyFont="1">
      <alignment horizontal="center" readingOrder="0" shrinkToFit="0" vertical="center" wrapText="1"/>
    </xf>
    <xf borderId="22" fillId="13" fontId="48" numFmtId="9" xfId="0" applyAlignment="1" applyBorder="1" applyFont="1" applyNumberFormat="1">
      <alignment horizontal="center"/>
    </xf>
    <xf borderId="59" fillId="48" fontId="19" numFmtId="166" xfId="0" applyBorder="1" applyFont="1" applyNumberFormat="1"/>
    <xf borderId="88" fillId="13" fontId="27" numFmtId="9" xfId="0" applyAlignment="1" applyBorder="1" applyFont="1" applyNumberFormat="1">
      <alignment horizontal="center" readingOrder="0"/>
    </xf>
    <xf borderId="91" fillId="15" fontId="24" numFmtId="0" xfId="0" applyAlignment="1" applyBorder="1" applyFont="1">
      <alignment horizontal="center" readingOrder="0" shrinkToFit="0" vertical="center" wrapText="1"/>
    </xf>
    <xf borderId="62" fillId="48" fontId="19" numFmtId="166" xfId="0" applyBorder="1" applyFont="1" applyNumberFormat="1"/>
    <xf borderId="22" fillId="13" fontId="48" numFmtId="9" xfId="0" applyAlignment="1" applyBorder="1" applyFont="1" applyNumberFormat="1">
      <alignment horizontal="center" vertical="bottom"/>
    </xf>
    <xf borderId="0" fillId="5" fontId="16" numFmtId="0" xfId="0" applyFont="1"/>
    <xf borderId="6" fillId="15" fontId="24" numFmtId="3" xfId="0" applyAlignment="1" applyBorder="1" applyFont="1" applyNumberFormat="1">
      <alignment horizontal="center" readingOrder="0" shrinkToFit="0" vertical="center" wrapText="1"/>
    </xf>
    <xf borderId="88" fillId="13" fontId="27" numFmtId="9" xfId="0" applyAlignment="1" applyBorder="1" applyFont="1" applyNumberFormat="1">
      <alignment horizontal="center" readingOrder="0" vertical="bottom"/>
    </xf>
    <xf borderId="92" fillId="15" fontId="24" numFmtId="0" xfId="0" applyAlignment="1" applyBorder="1" applyFont="1">
      <alignment horizontal="center" readingOrder="0" shrinkToFit="0" vertical="center" wrapText="1"/>
    </xf>
    <xf borderId="92" fillId="15" fontId="24" numFmtId="0" xfId="0" applyAlignment="1" applyBorder="1" applyFont="1">
      <alignment readingOrder="0" shrinkToFit="0" vertical="center" wrapText="1"/>
    </xf>
    <xf borderId="91" fillId="7" fontId="24" numFmtId="0" xfId="0" applyAlignment="1" applyBorder="1" applyFont="1">
      <alignment horizontal="center" readingOrder="0" shrinkToFit="0" vertical="center" wrapText="1"/>
    </xf>
    <xf borderId="85" fillId="13" fontId="27" numFmtId="0" xfId="0" applyAlignment="1" applyBorder="1" applyFont="1">
      <alignment horizontal="center" vertical="center"/>
    </xf>
    <xf borderId="1" fillId="44" fontId="15" numFmtId="0" xfId="0" applyBorder="1" applyFont="1"/>
    <xf borderId="88" fillId="16" fontId="7" numFmtId="0" xfId="0" applyAlignment="1" applyBorder="1" applyFont="1">
      <alignment horizontal="left" readingOrder="0" vertical="center"/>
    </xf>
    <xf borderId="3" fillId="44" fontId="16" numFmtId="0" xfId="0" applyBorder="1" applyFont="1"/>
    <xf borderId="89" fillId="16" fontId="7" numFmtId="0" xfId="0" applyAlignment="1" applyBorder="1" applyFont="1">
      <alignment horizontal="left" readingOrder="0" vertical="center"/>
    </xf>
    <xf borderId="6" fillId="7" fontId="24" numFmtId="170" xfId="0" applyAlignment="1" applyBorder="1" applyFont="1" applyNumberFormat="1">
      <alignment horizontal="center" shrinkToFit="0" vertical="center" wrapText="1"/>
    </xf>
    <xf borderId="89" fillId="16" fontId="7" numFmtId="0" xfId="0" applyAlignment="1" applyBorder="1" applyFont="1">
      <alignment horizontal="center" readingOrder="0" vertical="center"/>
    </xf>
    <xf borderId="92" fillId="7" fontId="24" numFmtId="0" xfId="0" applyAlignment="1" applyBorder="1" applyFont="1">
      <alignment horizontal="center" readingOrder="0" shrinkToFit="0" vertical="center" wrapText="1"/>
    </xf>
    <xf borderId="22" fillId="16" fontId="51" numFmtId="0" xfId="0" applyAlignment="1" applyBorder="1" applyFont="1">
      <alignment horizontal="center" readingOrder="0" vertical="center"/>
    </xf>
    <xf borderId="92" fillId="7" fontId="24" numFmtId="0" xfId="0" applyAlignment="1" applyBorder="1" applyFont="1">
      <alignment readingOrder="0" shrinkToFit="0" vertical="center" wrapText="1"/>
    </xf>
    <xf borderId="88" fillId="16" fontId="52" numFmtId="3" xfId="0" applyAlignment="1" applyBorder="1" applyFont="1" applyNumberFormat="1">
      <alignment horizontal="center" readingOrder="0" vertical="center"/>
    </xf>
    <xf borderId="1" fillId="44" fontId="16" numFmtId="0" xfId="0" applyBorder="1" applyFont="1"/>
    <xf borderId="6" fillId="15" fontId="24" numFmtId="0" xfId="0" applyAlignment="1" applyBorder="1" applyFont="1">
      <alignment horizontal="center" readingOrder="0" shrinkToFit="0" vertical="center" wrapText="1"/>
    </xf>
    <xf borderId="4" fillId="44" fontId="16" numFmtId="0" xfId="0" applyBorder="1" applyFont="1"/>
    <xf borderId="6" fillId="7" fontId="24" numFmtId="0" xfId="0" applyAlignment="1" applyBorder="1" applyFont="1">
      <alignment horizontal="center" readingOrder="0" shrinkToFit="0" vertical="center" wrapText="1"/>
    </xf>
    <xf borderId="19" fillId="25" fontId="16" numFmtId="0" xfId="0" applyBorder="1" applyFont="1"/>
    <xf borderId="22" fillId="16" fontId="51" numFmtId="3" xfId="0" applyAlignment="1" applyBorder="1" applyFont="1" applyNumberFormat="1">
      <alignment horizontal="center" readingOrder="0" vertical="center"/>
    </xf>
    <xf borderId="20" fillId="25" fontId="16" numFmtId="0" xfId="0" applyBorder="1" applyFont="1"/>
    <xf borderId="6" fillId="15" fontId="24" numFmtId="168" xfId="0" applyAlignment="1" applyBorder="1" applyFont="1" applyNumberFormat="1">
      <alignment horizontal="center" readingOrder="0" shrinkToFit="0" vertical="center" wrapText="1"/>
    </xf>
    <xf borderId="20" fillId="25" fontId="43" numFmtId="166" xfId="0" applyAlignment="1" applyBorder="1" applyFont="1" applyNumberFormat="1">
      <alignment horizontal="right" vertical="bottom"/>
    </xf>
    <xf borderId="88" fillId="16" fontId="52" numFmtId="0" xfId="0" applyAlignment="1" applyBorder="1" applyFont="1">
      <alignment horizontal="center" readingOrder="0" vertical="center"/>
    </xf>
    <xf borderId="58" fillId="23" fontId="7" numFmtId="0" xfId="0" applyAlignment="1" applyBorder="1" applyFont="1">
      <alignment horizontal="center" vertical="center"/>
    </xf>
    <xf borderId="23" fillId="25" fontId="16" numFmtId="0" xfId="0" applyBorder="1" applyFont="1"/>
    <xf borderId="6" fillId="7" fontId="24" numFmtId="168" xfId="0" applyAlignment="1" applyBorder="1" applyFont="1" applyNumberFormat="1">
      <alignment horizontal="center" shrinkToFit="0" vertical="center" wrapText="1"/>
    </xf>
    <xf borderId="88" fillId="23" fontId="7" numFmtId="0" xfId="0" applyAlignment="1" applyBorder="1" applyFont="1">
      <alignment horizontal="left" readingOrder="0" shrinkToFit="0" vertical="center" wrapText="0"/>
    </xf>
    <xf borderId="89" fillId="23" fontId="7" numFmtId="0" xfId="0" applyAlignment="1" applyBorder="1" applyFont="1">
      <alignment horizontal="left" readingOrder="0" shrinkToFit="0" vertical="center" wrapText="0"/>
    </xf>
    <xf borderId="93" fillId="15" fontId="24" numFmtId="0" xfId="0" applyAlignment="1" applyBorder="1" applyFont="1">
      <alignment horizontal="center" readingOrder="0" shrinkToFit="0" vertical="center" wrapText="1"/>
    </xf>
    <xf borderId="19" fillId="25" fontId="19" numFmtId="166" xfId="0" applyBorder="1" applyFont="1" applyNumberFormat="1"/>
    <xf borderId="85" fillId="15" fontId="24" numFmtId="0" xfId="0" applyAlignment="1" applyBorder="1" applyFont="1">
      <alignment horizontal="center" readingOrder="0" shrinkToFit="0" vertical="center" wrapText="1"/>
    </xf>
    <xf borderId="89" fillId="23" fontId="7" numFmtId="0" xfId="0" applyAlignment="1" applyBorder="1" applyFont="1">
      <alignment horizontal="center" readingOrder="0" vertical="center"/>
    </xf>
    <xf borderId="87" fillId="15" fontId="24" numFmtId="0" xfId="0" applyAlignment="1" applyBorder="1" applyFont="1">
      <alignment horizontal="center" readingOrder="0" shrinkToFit="0" vertical="center" wrapText="1"/>
    </xf>
    <xf borderId="22" fillId="23" fontId="48" numFmtId="0" xfId="0" applyAlignment="1" applyBorder="1" applyFont="1">
      <alignment horizontal="center" readingOrder="0" vertical="center"/>
    </xf>
    <xf borderId="87" fillId="15" fontId="24" numFmtId="0" xfId="0" applyAlignment="1" applyBorder="1" applyFont="1">
      <alignment readingOrder="0" shrinkToFit="0" vertical="center" wrapText="1"/>
    </xf>
    <xf borderId="26" fillId="25" fontId="19" numFmtId="166" xfId="0" applyBorder="1" applyFont="1" applyNumberFormat="1"/>
    <xf borderId="88" fillId="23" fontId="27" numFmtId="9" xfId="0" applyAlignment="1" applyBorder="1" applyFont="1" applyNumberFormat="1">
      <alignment horizontal="center" readingOrder="0" vertical="center"/>
    </xf>
    <xf borderId="5" fillId="25" fontId="16" numFmtId="166" xfId="0" applyBorder="1" applyFont="1" applyNumberFormat="1"/>
    <xf borderId="22" fillId="49" fontId="48" numFmtId="9" xfId="0" applyAlignment="1" applyBorder="1" applyFill="1" applyFont="1" applyNumberFormat="1">
      <alignment horizontal="center"/>
    </xf>
    <xf borderId="0" fillId="25" fontId="16" numFmtId="0" xfId="0" applyAlignment="1" applyFont="1">
      <alignment horizontal="center"/>
    </xf>
    <xf borderId="88" fillId="49" fontId="27" numFmtId="9" xfId="0" applyAlignment="1" applyBorder="1" applyFont="1" applyNumberFormat="1">
      <alignment horizontal="center"/>
    </xf>
    <xf borderId="0" fillId="25" fontId="6" numFmtId="0" xfId="0" applyFont="1"/>
    <xf borderId="11" fillId="21" fontId="24" numFmtId="0" xfId="0" applyAlignment="1" applyBorder="1" applyFont="1">
      <alignment horizontal="center" readingOrder="0" shrinkToFit="0" vertical="center" wrapText="1"/>
    </xf>
    <xf borderId="22" fillId="49" fontId="48" numFmtId="9" xfId="0" applyAlignment="1" applyBorder="1" applyFont="1" applyNumberFormat="1">
      <alignment horizontal="center" vertical="bottom"/>
    </xf>
    <xf borderId="0" fillId="25" fontId="6" numFmtId="0" xfId="0" applyAlignment="1" applyFont="1">
      <alignment readingOrder="0"/>
    </xf>
    <xf borderId="11" fillId="21" fontId="24" numFmtId="168" xfId="0" applyAlignment="1" applyBorder="1" applyFont="1" applyNumberFormat="1">
      <alignment horizontal="center" readingOrder="0" shrinkToFit="0" vertical="center" wrapText="1"/>
    </xf>
    <xf borderId="88" fillId="49" fontId="27" numFmtId="9" xfId="0" applyAlignment="1" applyBorder="1" applyFont="1" applyNumberFormat="1">
      <alignment horizontal="center" vertical="bottom"/>
    </xf>
    <xf borderId="7" fillId="25" fontId="6" numFmtId="0" xfId="0" applyBorder="1" applyFont="1"/>
    <xf borderId="11" fillId="21" fontId="24" numFmtId="0" xfId="0" applyAlignment="1" applyBorder="1" applyFont="1">
      <alignment readingOrder="0" shrinkToFit="0" vertical="center" wrapText="1"/>
    </xf>
    <xf borderId="85" fillId="23" fontId="7" numFmtId="0" xfId="0" applyAlignment="1" applyBorder="1" applyFont="1">
      <alignment horizontal="center" vertical="center"/>
    </xf>
    <xf borderId="88" fillId="25" fontId="7" numFmtId="0" xfId="0" applyAlignment="1" applyBorder="1" applyFont="1">
      <alignment horizontal="left" readingOrder="0" vertical="center"/>
    </xf>
    <xf borderId="11" fillId="11" fontId="24" numFmtId="0" xfId="0" applyAlignment="1" applyBorder="1" applyFont="1">
      <alignment readingOrder="0" shrinkToFit="0" vertical="center" wrapText="1"/>
    </xf>
    <xf borderId="89" fillId="25" fontId="7" numFmtId="0" xfId="0" applyAlignment="1" applyBorder="1" applyFont="1">
      <alignment horizontal="left" readingOrder="0" vertical="center"/>
    </xf>
    <xf borderId="89" fillId="25" fontId="7" numFmtId="0" xfId="0" applyAlignment="1" applyBorder="1" applyFont="1">
      <alignment horizontal="center" readingOrder="0" vertical="center"/>
    </xf>
    <xf borderId="11" fillId="21" fontId="24" numFmtId="168" xfId="0" applyAlignment="1" applyBorder="1" applyFont="1" applyNumberFormat="1">
      <alignment horizontal="center" shrinkToFit="0" vertical="center" wrapText="1"/>
    </xf>
    <xf borderId="22" fillId="25" fontId="51" numFmtId="0" xfId="0" applyAlignment="1" applyBorder="1" applyFont="1">
      <alignment horizontal="center" readingOrder="0" vertical="center"/>
    </xf>
    <xf borderId="88" fillId="25" fontId="52" numFmtId="3" xfId="0" applyAlignment="1" applyBorder="1" applyFont="1" applyNumberFormat="1">
      <alignment horizontal="center" readingOrder="0" vertical="center"/>
    </xf>
    <xf borderId="22" fillId="25" fontId="51" numFmtId="3" xfId="0" applyAlignment="1" applyBorder="1" applyFont="1" applyNumberFormat="1">
      <alignment horizontal="center" readingOrder="0" vertical="center"/>
    </xf>
    <xf borderId="88" fillId="25" fontId="52" numFmtId="0" xfId="0" applyAlignment="1" applyBorder="1" applyFont="1">
      <alignment horizontal="center" readingOrder="0" vertical="center"/>
    </xf>
    <xf borderId="11" fillId="21" fontId="24" numFmtId="0" xfId="0" applyAlignment="1" applyBorder="1" applyFont="1">
      <alignment readingOrder="0" shrinkToFit="0" vertical="center" wrapText="0"/>
    </xf>
    <xf borderId="14" fillId="21" fontId="24" numFmtId="0" xfId="0" applyAlignment="1" applyBorder="1" applyFont="1">
      <alignment shrinkToFit="0" vertical="center" wrapText="1"/>
    </xf>
    <xf borderId="22" fillId="21" fontId="24" numFmtId="0" xfId="0" applyAlignment="1" applyBorder="1" applyFont="1">
      <alignment shrinkToFit="0" vertical="center" wrapText="1"/>
    </xf>
    <xf borderId="88" fillId="28" fontId="7" numFmtId="0" xfId="0" applyAlignment="1" applyBorder="1" applyFont="1">
      <alignment horizontal="left" readingOrder="0" shrinkToFit="0" vertical="center" wrapText="0"/>
    </xf>
    <xf borderId="89" fillId="28" fontId="7" numFmtId="0" xfId="0" applyAlignment="1" applyBorder="1" applyFont="1">
      <alignment horizontal="left" readingOrder="0" shrinkToFit="0" vertical="center" wrapText="0"/>
    </xf>
    <xf borderId="0" fillId="11" fontId="54" numFmtId="0" xfId="0" applyAlignment="1" applyFont="1">
      <alignment readingOrder="0" shrinkToFit="0" vertical="center" wrapText="1"/>
    </xf>
    <xf borderId="89" fillId="28" fontId="7" numFmtId="0" xfId="0" applyAlignment="1" applyBorder="1" applyFont="1">
      <alignment horizontal="center" readingOrder="0" vertical="center"/>
    </xf>
    <xf borderId="22" fillId="28" fontId="48" numFmtId="0" xfId="0" applyAlignment="1" applyBorder="1" applyFont="1">
      <alignment horizontal="center" readingOrder="0" vertical="center"/>
    </xf>
    <xf borderId="88" fillId="28" fontId="27" numFmtId="9" xfId="0" applyAlignment="1" applyBorder="1" applyFont="1" applyNumberFormat="1">
      <alignment horizontal="center" readingOrder="0" vertical="center"/>
    </xf>
    <xf borderId="22" fillId="50" fontId="48" numFmtId="9" xfId="0" applyAlignment="1" applyBorder="1" applyFill="1" applyFont="1" applyNumberFormat="1">
      <alignment horizontal="center"/>
    </xf>
    <xf borderId="94" fillId="5" fontId="24" numFmtId="0" xfId="0" applyAlignment="1" applyBorder="1" applyFont="1">
      <alignment readingOrder="0" shrinkToFit="0" vertical="center" wrapText="1"/>
    </xf>
    <xf borderId="88" fillId="50" fontId="27" numFmtId="9" xfId="0" applyAlignment="1" applyBorder="1" applyFont="1" applyNumberFormat="1">
      <alignment horizontal="center"/>
    </xf>
    <xf borderId="40" fillId="5" fontId="24" numFmtId="3" xfId="0" applyAlignment="1" applyBorder="1" applyFont="1" applyNumberFormat="1">
      <alignment horizontal="center" readingOrder="0" shrinkToFit="0" vertical="center" wrapText="1"/>
    </xf>
    <xf borderId="22" fillId="50" fontId="48" numFmtId="9" xfId="0" applyAlignment="1" applyBorder="1" applyFont="1" applyNumberFormat="1">
      <alignment horizontal="center" vertical="bottom"/>
    </xf>
    <xf borderId="88" fillId="50" fontId="27" numFmtId="9" xfId="0" applyAlignment="1" applyBorder="1" applyFont="1" applyNumberFormat="1">
      <alignment horizontal="center" vertical="bottom"/>
    </xf>
    <xf borderId="40" fillId="5" fontId="24" numFmtId="3" xfId="0" applyAlignment="1" applyBorder="1" applyFont="1" applyNumberFormat="1">
      <alignment horizontal="center" shrinkToFit="0" vertical="center" wrapText="1"/>
    </xf>
    <xf borderId="85" fillId="28" fontId="7" numFmtId="0" xfId="0" applyAlignment="1" applyBorder="1" applyFont="1">
      <alignment horizontal="center" vertical="center"/>
    </xf>
    <xf borderId="88" fillId="17" fontId="7" numFmtId="0" xfId="0" applyAlignment="1" applyBorder="1" applyFont="1">
      <alignment horizontal="left" readingOrder="0" vertical="center"/>
    </xf>
    <xf borderId="20" fillId="25" fontId="16" numFmtId="166" xfId="0" applyBorder="1" applyFont="1" applyNumberFormat="1"/>
    <xf borderId="40" fillId="5" fontId="24" numFmtId="0" xfId="0" applyAlignment="1" applyBorder="1" applyFont="1">
      <alignment horizontal="center" shrinkToFit="0" vertical="center" wrapText="1"/>
    </xf>
    <xf borderId="89" fillId="17" fontId="7" numFmtId="0" xfId="0" applyAlignment="1" applyBorder="1" applyFont="1">
      <alignment horizontal="left" readingOrder="0" vertical="center"/>
    </xf>
    <xf borderId="39" fillId="5" fontId="24" numFmtId="0" xfId="0" applyAlignment="1" applyBorder="1" applyFont="1">
      <alignment readingOrder="0" shrinkToFit="0" vertical="center" wrapText="1"/>
    </xf>
    <xf borderId="89" fillId="17" fontId="7" numFmtId="0" xfId="0" applyAlignment="1" applyBorder="1" applyFont="1">
      <alignment horizontal="center" readingOrder="0" vertical="center"/>
    </xf>
    <xf borderId="94" fillId="7" fontId="24" numFmtId="0" xfId="0" applyAlignment="1" applyBorder="1" applyFont="1">
      <alignment readingOrder="0" shrinkToFit="0" vertical="center" wrapText="1"/>
    </xf>
    <xf borderId="22" fillId="17" fontId="51" numFmtId="0" xfId="0" applyAlignment="1" applyBorder="1" applyFont="1">
      <alignment horizontal="center" readingOrder="0" vertical="center"/>
    </xf>
    <xf borderId="40" fillId="7" fontId="24" numFmtId="3" xfId="0" applyAlignment="1" applyBorder="1" applyFont="1" applyNumberFormat="1">
      <alignment horizontal="center" readingOrder="0" shrinkToFit="0" vertical="center" wrapText="1"/>
    </xf>
    <xf borderId="88" fillId="17" fontId="7" numFmtId="3" xfId="0" applyAlignment="1" applyBorder="1" applyFont="1" applyNumberFormat="1">
      <alignment horizontal="center" readingOrder="0" vertical="center"/>
    </xf>
    <xf borderId="40" fillId="7" fontId="24" numFmtId="3" xfId="0" applyAlignment="1" applyBorder="1" applyFont="1" applyNumberFormat="1">
      <alignment horizontal="center" shrinkToFit="0" vertical="center" wrapText="1"/>
    </xf>
    <xf borderId="22" fillId="17" fontId="51" numFmtId="3" xfId="0" applyAlignment="1" applyBorder="1" applyFont="1" applyNumberFormat="1">
      <alignment horizontal="center" readingOrder="0" vertical="center"/>
    </xf>
    <xf borderId="39" fillId="7" fontId="24" numFmtId="0" xfId="0" applyAlignment="1" applyBorder="1" applyFont="1">
      <alignment readingOrder="0" shrinkToFit="0" vertical="center" wrapText="1"/>
    </xf>
    <xf borderId="88" fillId="17" fontId="7" numFmtId="0" xfId="0" applyAlignment="1" applyBorder="1" applyFont="1">
      <alignment horizontal="center" readingOrder="0" vertical="center"/>
    </xf>
    <xf borderId="58" fillId="3" fontId="29" numFmtId="0" xfId="0" applyAlignment="1" applyBorder="1" applyFont="1">
      <alignment horizontal="center" vertical="bottom"/>
    </xf>
    <xf borderId="11" fillId="3" fontId="26" numFmtId="0" xfId="0" applyAlignment="1" applyBorder="1" applyFont="1">
      <alignment vertical="bottom"/>
    </xf>
    <xf borderId="40" fillId="7" fontId="24" numFmtId="168" xfId="0" applyAlignment="1" applyBorder="1" applyFont="1" applyNumberFormat="1">
      <alignment horizontal="center" readingOrder="0" shrinkToFit="0" vertical="center" wrapText="1"/>
    </xf>
    <xf borderId="11" fillId="3" fontId="55" numFmtId="0" xfId="0" applyAlignment="1" applyBorder="1" applyFont="1">
      <alignment horizontal="center" vertical="bottom"/>
    </xf>
    <xf borderId="0" fillId="51" fontId="43" numFmtId="0" xfId="0" applyAlignment="1" applyFill="1" applyFont="1">
      <alignment vertical="bottom"/>
    </xf>
    <xf borderId="40" fillId="7" fontId="24" numFmtId="168" xfId="0" applyAlignment="1" applyBorder="1" applyFont="1" applyNumberFormat="1">
      <alignment horizontal="center" shrinkToFit="0" vertical="center" wrapText="1"/>
    </xf>
    <xf borderId="0" fillId="37" fontId="6" numFmtId="0" xfId="0" applyFont="1"/>
    <xf borderId="0" fillId="31" fontId="6" numFmtId="0" xfId="0" applyFont="1"/>
    <xf borderId="85" fillId="3" fontId="43" numFmtId="0" xfId="0" applyAlignment="1" applyBorder="1" applyFont="1">
      <alignment vertical="bottom"/>
    </xf>
    <xf borderId="12" fillId="25" fontId="16" numFmtId="166" xfId="0" applyBorder="1" applyFont="1" applyNumberFormat="1"/>
    <xf borderId="11" fillId="13" fontId="56" numFmtId="0" xfId="0" applyAlignment="1" applyBorder="1" applyFont="1">
      <alignment horizontal="left" readingOrder="0" vertical="bottom"/>
    </xf>
    <xf borderId="15" fillId="25" fontId="16" numFmtId="0" xfId="0" applyAlignment="1" applyBorder="1" applyFont="1">
      <alignment horizontal="center"/>
    </xf>
    <xf borderId="11" fillId="13" fontId="56" numFmtId="0" xfId="0" applyAlignment="1" applyBorder="1" applyFont="1">
      <alignment horizontal="center" vertical="bottom"/>
    </xf>
    <xf borderId="15" fillId="25" fontId="6" numFmtId="0" xfId="0" applyBorder="1" applyFont="1"/>
    <xf borderId="0" fillId="29" fontId="43" numFmtId="0" xfId="0" applyAlignment="1" applyFont="1">
      <alignment vertical="bottom"/>
    </xf>
    <xf borderId="15" fillId="25" fontId="6" numFmtId="0" xfId="0" applyAlignment="1" applyBorder="1" applyFont="1">
      <alignment readingOrder="0"/>
    </xf>
    <xf borderId="0" fillId="0" fontId="20" numFmtId="0" xfId="0" applyAlignment="1" applyFont="1">
      <alignment readingOrder="0"/>
    </xf>
    <xf borderId="16" fillId="25" fontId="6" numFmtId="0" xfId="0" applyBorder="1" applyFont="1"/>
    <xf borderId="0" fillId="0" fontId="43" numFmtId="0" xfId="0" applyAlignment="1" applyFont="1">
      <alignment vertical="bottom"/>
    </xf>
    <xf borderId="59" fillId="26" fontId="19" numFmtId="0" xfId="0" applyBorder="1" applyFont="1"/>
    <xf borderId="40" fillId="5" fontId="24" numFmtId="168" xfId="0" applyAlignment="1" applyBorder="1" applyFont="1" applyNumberFormat="1">
      <alignment horizontal="center" readingOrder="0" shrinkToFit="0" vertical="center" wrapText="1"/>
    </xf>
    <xf borderId="0" fillId="0" fontId="57" numFmtId="9" xfId="0" applyAlignment="1" applyFont="1" applyNumberFormat="1">
      <alignment vertical="bottom"/>
    </xf>
    <xf borderId="60" fillId="26" fontId="19" numFmtId="0" xfId="0" applyBorder="1" applyFont="1"/>
    <xf borderId="0" fillId="0" fontId="43" numFmtId="0" xfId="0" applyAlignment="1" applyFont="1">
      <alignment vertical="bottom"/>
    </xf>
    <xf borderId="40" fillId="5" fontId="24" numFmtId="168" xfId="0" applyAlignment="1" applyBorder="1" applyFont="1" applyNumberFormat="1">
      <alignment horizontal="center" shrinkToFit="0" vertical="center" wrapText="1"/>
    </xf>
    <xf borderId="0" fillId="6" fontId="58" numFmtId="0" xfId="0" applyAlignment="1" applyFont="1">
      <alignment horizontal="left" readingOrder="0"/>
    </xf>
    <xf borderId="60" fillId="26" fontId="19" numFmtId="166" xfId="0" applyBorder="1" applyFont="1" applyNumberFormat="1"/>
    <xf borderId="0" fillId="6" fontId="58" numFmtId="0" xfId="0" applyAlignment="1" applyFont="1">
      <alignment horizontal="left"/>
    </xf>
    <xf borderId="95" fillId="7" fontId="24" numFmtId="0" xfId="0" applyAlignment="1" applyBorder="1" applyFont="1">
      <alignment readingOrder="0" shrinkToFit="0" vertical="center" wrapText="1"/>
    </xf>
    <xf borderId="0" fillId="5" fontId="58" numFmtId="0" xfId="0" applyAlignment="1" applyFont="1">
      <alignment horizontal="left"/>
    </xf>
    <xf borderId="96" fillId="7" fontId="24" numFmtId="168" xfId="0" applyAlignment="1" applyBorder="1" applyFont="1" applyNumberFormat="1">
      <alignment horizontal="center" readingOrder="0" shrinkToFit="0" vertical="center" wrapText="1"/>
    </xf>
    <xf borderId="0" fillId="6" fontId="58" numFmtId="0" xfId="0" applyAlignment="1" applyFont="1">
      <alignment horizontal="center" readingOrder="0" vertical="center"/>
    </xf>
    <xf borderId="96" fillId="7" fontId="24" numFmtId="168" xfId="0" applyAlignment="1" applyBorder="1" applyFont="1" applyNumberFormat="1">
      <alignment horizontal="center" shrinkToFit="0" vertical="center" wrapText="1"/>
    </xf>
    <xf borderId="96" fillId="5" fontId="24" numFmtId="0" xfId="0" applyAlignment="1" applyBorder="1" applyFont="1">
      <alignment horizontal="center" shrinkToFit="0" vertical="center" wrapText="1"/>
    </xf>
    <xf borderId="97" fillId="6" fontId="5" numFmtId="0" xfId="0" applyAlignment="1" applyBorder="1" applyFont="1">
      <alignment horizontal="center" readingOrder="0"/>
    </xf>
    <xf borderId="98" fillId="7" fontId="24" numFmtId="0" xfId="0" applyAlignment="1" applyBorder="1" applyFont="1">
      <alignment readingOrder="0" shrinkToFit="0" vertical="center" wrapText="1"/>
    </xf>
    <xf borderId="99" fillId="6" fontId="5" numFmtId="0" xfId="0" applyAlignment="1" applyBorder="1" applyFont="1">
      <alignment horizontal="center" readingOrder="0"/>
    </xf>
    <xf borderId="0" fillId="0" fontId="6" numFmtId="0" xfId="0" applyAlignment="1" applyFont="1">
      <alignment horizontal="left"/>
    </xf>
    <xf borderId="97" fillId="6" fontId="5" numFmtId="0" xfId="0" applyAlignment="1" applyBorder="1" applyFont="1">
      <alignment horizontal="center" readingOrder="0" shrinkToFit="0" vertical="center" wrapText="1"/>
    </xf>
    <xf borderId="61" fillId="26" fontId="19" numFmtId="166" xfId="0" applyBorder="1" applyFont="1" applyNumberFormat="1"/>
    <xf borderId="100" fillId="6" fontId="5" numFmtId="0" xfId="0" applyAlignment="1" applyBorder="1" applyFont="1">
      <alignment horizontal="center" readingOrder="0" shrinkToFit="0" vertical="center" wrapText="1"/>
    </xf>
    <xf borderId="59" fillId="26" fontId="19" numFmtId="166" xfId="0" applyBorder="1" applyFont="1" applyNumberFormat="1"/>
    <xf borderId="100" fillId="6" fontId="5" numFmtId="0" xfId="0" applyAlignment="1" applyBorder="1" applyFont="1">
      <alignment horizontal="center" readingOrder="0" shrinkToFit="0" vertical="center" wrapText="1"/>
    </xf>
    <xf borderId="62" fillId="26" fontId="19" numFmtId="166" xfId="0" applyBorder="1" applyFont="1" applyNumberFormat="1"/>
    <xf borderId="99" fillId="6" fontId="5" numFmtId="0" xfId="0" applyAlignment="1" applyBorder="1" applyFont="1">
      <alignment horizontal="center" readingOrder="0" shrinkToFit="0" vertical="center" wrapText="1"/>
    </xf>
    <xf borderId="0" fillId="0" fontId="57" numFmtId="0" xfId="0" applyAlignment="1" applyFont="1">
      <alignment vertical="bottom"/>
    </xf>
    <xf borderId="0" fillId="0" fontId="10" numFmtId="0" xfId="0" applyFont="1"/>
    <xf borderId="19" fillId="0" fontId="59" numFmtId="0" xfId="0" applyAlignment="1" applyBorder="1" applyFont="1">
      <alignment horizontal="left" readingOrder="0"/>
    </xf>
    <xf borderId="1" fillId="45" fontId="15" numFmtId="0" xfId="0" applyBorder="1" applyFont="1"/>
    <xf borderId="3" fillId="45" fontId="16" numFmtId="0" xfId="0" applyBorder="1" applyFont="1"/>
    <xf borderId="1" fillId="45" fontId="16" numFmtId="0" xfId="0" applyBorder="1" applyFont="1"/>
    <xf borderId="26" fillId="0" fontId="6" numFmtId="166" xfId="0" applyAlignment="1" applyBorder="1" applyFont="1" applyNumberFormat="1">
      <alignment horizontal="right"/>
    </xf>
    <xf borderId="4" fillId="45" fontId="16" numFmtId="0" xfId="0" applyBorder="1" applyFont="1"/>
    <xf borderId="20" fillId="0" fontId="6" numFmtId="0" xfId="0" applyAlignment="1" applyBorder="1" applyFont="1">
      <alignment horizontal="left" readingOrder="0"/>
    </xf>
    <xf borderId="19" fillId="52" fontId="16" numFmtId="0" xfId="0" applyBorder="1" applyFill="1" applyFont="1"/>
    <xf borderId="20" fillId="0" fontId="6" numFmtId="0" xfId="0" applyAlignment="1" applyBorder="1" applyFont="1">
      <alignment horizontal="center" readingOrder="0"/>
    </xf>
    <xf borderId="20" fillId="52" fontId="16" numFmtId="0" xfId="0" applyBorder="1" applyFont="1"/>
    <xf borderId="20" fillId="52" fontId="16" numFmtId="166" xfId="0" applyBorder="1" applyFont="1" applyNumberFormat="1"/>
    <xf borderId="20" fillId="5" fontId="6" numFmtId="166" xfId="0" applyAlignment="1" applyBorder="1" applyFont="1" applyNumberFormat="1">
      <alignment horizontal="right"/>
    </xf>
    <xf borderId="23" fillId="52" fontId="16" numFmtId="0" xfId="0" applyBorder="1" applyFont="1"/>
    <xf borderId="20" fillId="5" fontId="7" numFmtId="166" xfId="0" applyAlignment="1" applyBorder="1" applyFont="1" applyNumberFormat="1">
      <alignment horizontal="right" readingOrder="0" vertical="center"/>
    </xf>
    <xf borderId="0" fillId="0" fontId="36" numFmtId="0" xfId="0" applyAlignment="1" applyFont="1">
      <alignment readingOrder="0" shrinkToFit="0" vertical="center" wrapText="0"/>
    </xf>
    <xf borderId="19" fillId="52" fontId="19" numFmtId="166" xfId="0" applyBorder="1" applyFont="1" applyNumberFormat="1"/>
    <xf borderId="26" fillId="52" fontId="19" numFmtId="166" xfId="0" applyBorder="1" applyFont="1" applyNumberFormat="1"/>
    <xf borderId="26" fillId="5" fontId="7" numFmtId="166" xfId="0" applyAlignment="1" applyBorder="1" applyFont="1" applyNumberFormat="1">
      <alignment horizontal="right" readingOrder="0" vertical="center"/>
    </xf>
    <xf borderId="5" fillId="52" fontId="16" numFmtId="166" xfId="0" applyBorder="1" applyFont="1" applyNumberFormat="1"/>
    <xf borderId="0" fillId="53" fontId="5" numFmtId="0" xfId="0" applyAlignment="1" applyFill="1" applyFont="1">
      <alignment readingOrder="0"/>
    </xf>
    <xf borderId="0" fillId="52" fontId="16" numFmtId="0" xfId="0" applyAlignment="1" applyFont="1">
      <alignment horizontal="center"/>
    </xf>
    <xf borderId="0" fillId="53" fontId="5" numFmtId="0" xfId="0" applyFont="1"/>
    <xf borderId="0" fillId="52" fontId="6" numFmtId="0" xfId="0" applyFont="1"/>
    <xf borderId="0" fillId="53" fontId="5" numFmtId="0" xfId="0" applyAlignment="1" applyFont="1">
      <alignment horizontal="center"/>
    </xf>
    <xf borderId="0" fillId="52" fontId="6" numFmtId="0" xfId="0" applyAlignment="1" applyFont="1">
      <alignment readingOrder="0"/>
    </xf>
    <xf borderId="0" fillId="53" fontId="5" numFmtId="166" xfId="0" applyAlignment="1" applyFont="1" applyNumberFormat="1">
      <alignment horizontal="right"/>
    </xf>
    <xf borderId="7" fillId="52" fontId="6" numFmtId="0" xfId="0" applyBorder="1" applyFont="1"/>
    <xf borderId="1" fillId="3" fontId="5" numFmtId="0" xfId="0" applyAlignment="1" applyBorder="1" applyFont="1">
      <alignment horizontal="center" readingOrder="0" shrinkToFit="0" vertical="center" wrapText="1"/>
    </xf>
    <xf borderId="4" fillId="3" fontId="5" numFmtId="0" xfId="0" applyAlignment="1" applyBorder="1" applyFont="1">
      <alignment horizontal="center" readingOrder="0" shrinkToFit="0" vertical="center" wrapText="1"/>
    </xf>
    <xf borderId="65" fillId="53" fontId="5" numFmtId="166" xfId="0" applyAlignment="1" applyBorder="1" applyFont="1" applyNumberFormat="1">
      <alignment horizontal="right"/>
    </xf>
    <xf borderId="0" fillId="54" fontId="5" numFmtId="0" xfId="0" applyAlignment="1" applyFill="1" applyFont="1">
      <alignment readingOrder="0"/>
    </xf>
    <xf borderId="66" fillId="53" fontId="5" numFmtId="166" xfId="0" applyAlignment="1" applyBorder="1" applyFont="1" applyNumberFormat="1">
      <alignment horizontal="right"/>
    </xf>
    <xf borderId="0" fillId="54" fontId="5" numFmtId="0" xfId="0" applyFont="1"/>
    <xf borderId="23" fillId="52" fontId="16" numFmtId="166" xfId="0" applyBorder="1" applyFont="1" applyNumberFormat="1"/>
    <xf borderId="0" fillId="54" fontId="5" numFmtId="166" xfId="0" applyAlignment="1" applyFont="1" applyNumberFormat="1">
      <alignment horizontal="right"/>
    </xf>
    <xf borderId="5" fillId="54" fontId="5" numFmtId="166" xfId="0" applyAlignment="1" applyBorder="1" applyFont="1" applyNumberFormat="1">
      <alignment horizontal="right"/>
    </xf>
    <xf borderId="7" fillId="54" fontId="5" numFmtId="166" xfId="0" applyAlignment="1" applyBorder="1" applyFont="1" applyNumberFormat="1">
      <alignment horizontal="right"/>
    </xf>
    <xf borderId="5" fillId="0" fontId="6" numFmtId="166" xfId="0" applyAlignment="1" applyBorder="1" applyFont="1" applyNumberFormat="1">
      <alignment horizontal="right"/>
    </xf>
    <xf borderId="12" fillId="52" fontId="16" numFmtId="166" xfId="0" applyBorder="1" applyFont="1" applyNumberFormat="1"/>
    <xf borderId="15" fillId="52" fontId="16" numFmtId="0" xfId="0" applyAlignment="1" applyBorder="1" applyFont="1">
      <alignment horizontal="center"/>
    </xf>
    <xf borderId="7" fillId="0" fontId="6" numFmtId="166" xfId="0" applyAlignment="1" applyBorder="1" applyFont="1" applyNumberFormat="1">
      <alignment horizontal="right"/>
    </xf>
    <xf borderId="15" fillId="52" fontId="6" numFmtId="0" xfId="0" applyBorder="1" applyFont="1"/>
    <xf borderId="15" fillId="52" fontId="6" numFmtId="0" xfId="0" applyAlignment="1" applyBorder="1" applyFont="1">
      <alignment readingOrder="0"/>
    </xf>
    <xf borderId="16" fillId="52" fontId="6" numFmtId="0" xfId="0" applyBorder="1" applyFont="1"/>
    <xf borderId="0" fillId="55" fontId="5" numFmtId="0" xfId="0" applyAlignment="1" applyFill="1" applyFont="1">
      <alignment readingOrder="0"/>
    </xf>
    <xf borderId="59" fillId="56" fontId="19" numFmtId="0" xfId="0" applyBorder="1" applyFill="1" applyFont="1"/>
    <xf borderId="0" fillId="55" fontId="5" numFmtId="0" xfId="0" applyFont="1"/>
    <xf borderId="0" fillId="55" fontId="5" numFmtId="0" xfId="0" applyAlignment="1" applyFont="1">
      <alignment horizontal="center"/>
    </xf>
    <xf borderId="60" fillId="56" fontId="19" numFmtId="0" xfId="0" applyBorder="1" applyFont="1"/>
    <xf borderId="0" fillId="55" fontId="5" numFmtId="166" xfId="0" applyAlignment="1" applyFont="1" applyNumberFormat="1">
      <alignment horizontal="right"/>
    </xf>
    <xf borderId="60" fillId="56" fontId="19" numFmtId="166" xfId="0" applyBorder="1" applyFont="1" applyNumberFormat="1"/>
    <xf borderId="65" fillId="55" fontId="5" numFmtId="166" xfId="0" applyAlignment="1" applyBorder="1" applyFont="1" applyNumberFormat="1">
      <alignment horizontal="right"/>
    </xf>
    <xf borderId="66" fillId="55" fontId="5" numFmtId="166" xfId="0" applyAlignment="1" applyBorder="1" applyFont="1" applyNumberFormat="1">
      <alignment horizontal="right"/>
    </xf>
    <xf borderId="0" fillId="17" fontId="6" numFmtId="0" xfId="0" applyAlignment="1" applyFont="1">
      <alignment readingOrder="0"/>
    </xf>
    <xf borderId="0" fillId="17" fontId="6" numFmtId="0" xfId="0" applyAlignment="1" applyFont="1">
      <alignment horizontal="center" readingOrder="0"/>
    </xf>
    <xf borderId="0" fillId="17" fontId="6" numFmtId="166" xfId="0" applyAlignment="1" applyFont="1" applyNumberFormat="1">
      <alignment horizontal="right"/>
    </xf>
    <xf borderId="26" fillId="0" fontId="6" numFmtId="174" xfId="0" applyAlignment="1" applyBorder="1" applyFont="1" applyNumberFormat="1">
      <alignment horizontal="right"/>
    </xf>
    <xf borderId="12" fillId="38" fontId="20" numFmtId="166" xfId="0" applyAlignment="1" applyBorder="1" applyFont="1" applyNumberFormat="1">
      <alignment horizontal="right"/>
    </xf>
    <xf borderId="16" fillId="38" fontId="20" numFmtId="166" xfId="0" applyAlignment="1" applyBorder="1" applyFont="1" applyNumberFormat="1">
      <alignment horizontal="right"/>
    </xf>
    <xf borderId="61" fillId="56" fontId="19" numFmtId="166" xfId="0" applyBorder="1" applyFont="1" applyNumberFormat="1"/>
    <xf borderId="59" fillId="56" fontId="19" numFmtId="166" xfId="0" applyBorder="1" applyFont="1" applyNumberFormat="1"/>
    <xf borderId="0" fillId="49" fontId="5" numFmtId="0" xfId="0" applyAlignment="1" applyFont="1">
      <alignment readingOrder="0"/>
    </xf>
    <xf borderId="62" fillId="56" fontId="19" numFmtId="166" xfId="0" applyBorder="1" applyFont="1" applyNumberFormat="1"/>
    <xf borderId="0" fillId="49" fontId="5" numFmtId="0" xfId="0" applyFont="1"/>
    <xf borderId="0" fillId="49" fontId="5" numFmtId="166" xfId="0" applyAlignment="1" applyFont="1" applyNumberFormat="1">
      <alignment horizontal="right"/>
    </xf>
    <xf borderId="5" fillId="49" fontId="5" numFmtId="166" xfId="0" applyAlignment="1" applyBorder="1" applyFont="1" applyNumberFormat="1">
      <alignment horizontal="right"/>
    </xf>
    <xf borderId="7" fillId="49" fontId="5" numFmtId="166" xfId="0" applyAlignment="1" applyBorder="1" applyFont="1" applyNumberFormat="1">
      <alignment horizontal="right"/>
    </xf>
    <xf borderId="65" fillId="17" fontId="6" numFmtId="166" xfId="0" applyAlignment="1" applyBorder="1" applyFont="1" applyNumberFormat="1">
      <alignment horizontal="right"/>
    </xf>
    <xf borderId="1" fillId="57" fontId="14" numFmtId="0" xfId="0" applyBorder="1" applyFill="1" applyFont="1"/>
    <xf borderId="59" fillId="0" fontId="59" numFmtId="0" xfId="0" applyAlignment="1" applyBorder="1" applyFont="1">
      <alignment horizontal="left" readingOrder="0"/>
    </xf>
    <xf borderId="3" fillId="57" fontId="37" numFmtId="0" xfId="0" applyBorder="1" applyFont="1"/>
    <xf borderId="0" fillId="0" fontId="6" numFmtId="0" xfId="0" applyFont="1"/>
    <xf borderId="66" fillId="17" fontId="6" numFmtId="166" xfId="0" applyAlignment="1" applyBorder="1" applyFont="1" applyNumberFormat="1">
      <alignment horizontal="right"/>
    </xf>
    <xf borderId="62" fillId="0" fontId="6" numFmtId="166" xfId="0" applyAlignment="1" applyBorder="1" applyFont="1" applyNumberFormat="1">
      <alignment horizontal="right"/>
    </xf>
    <xf borderId="1" fillId="57" fontId="37" numFmtId="0" xfId="0" applyBorder="1" applyFont="1"/>
    <xf borderId="60" fillId="0" fontId="6" numFmtId="0" xfId="0" applyAlignment="1" applyBorder="1" applyFont="1">
      <alignment horizontal="left" readingOrder="0"/>
    </xf>
    <xf borderId="4" fillId="57" fontId="37" numFmtId="0" xfId="0" applyBorder="1" applyFont="1"/>
    <xf borderId="60" fillId="0" fontId="6" numFmtId="0" xfId="0" applyAlignment="1" applyBorder="1" applyFont="1">
      <alignment horizontal="center" readingOrder="0"/>
    </xf>
    <xf borderId="60" fillId="5" fontId="6" numFmtId="49" xfId="0" applyAlignment="1" applyBorder="1" applyFont="1" applyNumberFormat="1">
      <alignment horizontal="right"/>
    </xf>
    <xf borderId="19" fillId="19" fontId="16" numFmtId="0" xfId="0" applyBorder="1" applyFont="1"/>
    <xf borderId="25" fillId="3" fontId="5" numFmtId="0" xfId="0" applyBorder="1" applyFont="1"/>
    <xf borderId="25" fillId="3" fontId="5" numFmtId="0" xfId="0" applyAlignment="1" applyBorder="1" applyFont="1">
      <alignment readingOrder="0"/>
    </xf>
    <xf borderId="60" fillId="5" fontId="7" numFmtId="166" xfId="0" applyAlignment="1" applyBorder="1" applyFont="1" applyNumberFormat="1">
      <alignment horizontal="right" readingOrder="0" vertical="center"/>
    </xf>
    <xf borderId="20" fillId="19" fontId="16" numFmtId="0" xfId="0" applyBorder="1" applyFont="1"/>
    <xf borderId="101" fillId="3" fontId="5" numFmtId="166" xfId="0" applyAlignment="1" applyBorder="1" applyFont="1" applyNumberFormat="1">
      <alignment horizontal="center"/>
    </xf>
    <xf borderId="20" fillId="19" fontId="16" numFmtId="166" xfId="0" applyBorder="1" applyFont="1" applyNumberFormat="1"/>
    <xf borderId="102" fillId="3" fontId="5" numFmtId="166" xfId="0" applyAlignment="1" applyBorder="1" applyFont="1" applyNumberFormat="1">
      <alignment horizontal="center"/>
    </xf>
    <xf borderId="62" fillId="5" fontId="7" numFmtId="166" xfId="0" applyAlignment="1" applyBorder="1" applyFont="1" applyNumberFormat="1">
      <alignment horizontal="right" readingOrder="0" vertical="center"/>
    </xf>
    <xf borderId="23" fillId="19" fontId="16" numFmtId="166" xfId="0" applyBorder="1" applyFont="1" applyNumberFormat="1"/>
    <xf borderId="19" fillId="19" fontId="19" numFmtId="166" xfId="0" applyBorder="1" applyFont="1" applyNumberFormat="1"/>
    <xf borderId="102" fillId="3" fontId="42" numFmtId="166" xfId="0" applyAlignment="1" applyBorder="1" applyFont="1" applyNumberFormat="1">
      <alignment horizontal="center"/>
    </xf>
    <xf borderId="103" fillId="3" fontId="42" numFmtId="166" xfId="0" applyAlignment="1" applyBorder="1" applyFont="1" applyNumberFormat="1">
      <alignment horizontal="center"/>
    </xf>
    <xf borderId="0" fillId="3" fontId="58" numFmtId="0" xfId="0" applyAlignment="1" applyFont="1">
      <alignment readingOrder="0"/>
    </xf>
    <xf borderId="0" fillId="3" fontId="58" numFmtId="0" xfId="0" applyFont="1"/>
    <xf borderId="26" fillId="19" fontId="19" numFmtId="166" xfId="0" applyBorder="1" applyFont="1" applyNumberFormat="1"/>
    <xf borderId="0" fillId="3" fontId="58" numFmtId="0" xfId="0" applyAlignment="1" applyFont="1">
      <alignment readingOrder="0"/>
    </xf>
    <xf borderId="5" fillId="19" fontId="16" numFmtId="0" xfId="0" applyBorder="1" applyFont="1"/>
    <xf borderId="0" fillId="5" fontId="58" numFmtId="0" xfId="0" applyAlignment="1" applyFont="1">
      <alignment readingOrder="0"/>
    </xf>
    <xf borderId="0" fillId="19" fontId="16" numFmtId="0" xfId="0" applyAlignment="1" applyFont="1">
      <alignment horizontal="center"/>
    </xf>
    <xf borderId="0" fillId="19" fontId="6" numFmtId="0" xfId="0" applyFont="1"/>
    <xf borderId="97" fillId="3" fontId="5" numFmtId="0" xfId="0" applyAlignment="1" applyBorder="1" applyFont="1">
      <alignment horizontal="center" readingOrder="0" shrinkToFit="0" vertical="center" wrapText="1"/>
    </xf>
    <xf borderId="0" fillId="19" fontId="6" numFmtId="0" xfId="0" applyAlignment="1" applyFont="1">
      <alignment readingOrder="0"/>
    </xf>
    <xf borderId="100" fillId="3" fontId="5" numFmtId="0" xfId="0" applyAlignment="1" applyBorder="1" applyFont="1">
      <alignment horizontal="center" readingOrder="0" shrinkToFit="0" wrapText="1"/>
    </xf>
    <xf borderId="7" fillId="19" fontId="6" numFmtId="0" xfId="0" applyBorder="1" applyFont="1"/>
    <xf borderId="99" fillId="3" fontId="5" numFmtId="0" xfId="0" applyAlignment="1" applyBorder="1" applyFont="1">
      <alignment horizontal="center" readingOrder="0" shrinkToFit="0" wrapText="1"/>
    </xf>
    <xf borderId="0" fillId="0" fontId="6" numFmtId="0" xfId="0" applyAlignment="1" applyFont="1">
      <alignment readingOrder="0" shrinkToFit="0" vertical="top" wrapText="1"/>
    </xf>
    <xf borderId="0" fillId="9" fontId="39" numFmtId="0" xfId="0" applyAlignment="1" applyFont="1">
      <alignment horizontal="center" readingOrder="0" vertical="center"/>
    </xf>
    <xf borderId="20" fillId="11" fontId="6" numFmtId="166" xfId="0" applyAlignment="1" applyBorder="1" applyFont="1" applyNumberFormat="1">
      <alignment horizontal="center" shrinkToFit="0" vertical="center" wrapText="1"/>
    </xf>
    <xf borderId="20" fillId="11" fontId="6" numFmtId="166" xfId="0" applyAlignment="1" applyBorder="1" applyFont="1" applyNumberFormat="1">
      <alignment horizontal="right" shrinkToFit="0" vertical="center" wrapText="1"/>
    </xf>
    <xf borderId="20" fillId="11" fontId="6" numFmtId="169" xfId="0" applyAlignment="1" applyBorder="1" applyFont="1" applyNumberFormat="1">
      <alignment horizontal="center" shrinkToFit="0" vertical="center" wrapText="1"/>
    </xf>
    <xf borderId="20" fillId="11" fontId="6" numFmtId="0" xfId="0" applyAlignment="1" applyBorder="1" applyFont="1">
      <alignment readingOrder="0" shrinkToFit="0" vertical="center" wrapText="1"/>
    </xf>
    <xf borderId="26" fillId="11" fontId="6" numFmtId="0" xfId="0" applyAlignment="1" applyBorder="1" applyFont="1">
      <alignment readingOrder="0" shrinkToFit="0" vertical="center" wrapText="1"/>
    </xf>
    <xf borderId="0" fillId="0" fontId="10" numFmtId="0" xfId="0" applyAlignment="1" applyFont="1">
      <alignment readingOrder="0" shrinkToFit="0" vertical="top" wrapText="0"/>
    </xf>
    <xf borderId="0" fillId="45" fontId="39" numFmtId="0" xfId="0" applyAlignment="1" applyFont="1">
      <alignment horizontal="center" readingOrder="0" vertical="center"/>
    </xf>
    <xf borderId="20" fillId="52" fontId="6" numFmtId="166" xfId="0" applyAlignment="1" applyBorder="1" applyFont="1" applyNumberFormat="1">
      <alignment horizontal="center" shrinkToFit="0" vertical="center" wrapText="1"/>
    </xf>
    <xf borderId="20" fillId="52" fontId="6" numFmtId="166" xfId="0" applyAlignment="1" applyBorder="1" applyFont="1" applyNumberFormat="1">
      <alignment horizontal="right" shrinkToFit="0" vertical="center" wrapText="1"/>
    </xf>
    <xf borderId="20" fillId="52" fontId="6" numFmtId="169" xfId="0" applyAlignment="1" applyBorder="1" applyFont="1" applyNumberFormat="1">
      <alignment horizontal="center" shrinkToFit="0" vertical="center" wrapText="1"/>
    </xf>
    <xf borderId="20" fillId="52" fontId="6" numFmtId="0" xfId="0" applyAlignment="1" applyBorder="1" applyFont="1">
      <alignment readingOrder="0" shrinkToFit="0" vertical="center" wrapText="1"/>
    </xf>
    <xf borderId="26" fillId="52" fontId="6" numFmtId="0" xfId="0" applyAlignment="1" applyBorder="1" applyFont="1">
      <alignment readingOrder="0" shrinkToFit="0" vertical="center" wrapText="1"/>
    </xf>
    <xf borderId="0" fillId="40" fontId="5" numFmtId="0" xfId="0" applyAlignment="1" applyFont="1">
      <alignment horizontal="center" readingOrder="0" vertical="center"/>
    </xf>
    <xf borderId="20" fillId="41" fontId="6" numFmtId="166" xfId="0" applyAlignment="1" applyBorder="1" applyFont="1" applyNumberFormat="1">
      <alignment horizontal="center" shrinkToFit="0" vertical="center" wrapText="1"/>
    </xf>
    <xf borderId="20" fillId="41" fontId="6" numFmtId="166" xfId="0" applyAlignment="1" applyBorder="1" applyFont="1" applyNumberFormat="1">
      <alignment horizontal="right" shrinkToFit="0" vertical="center" wrapText="1"/>
    </xf>
    <xf borderId="20" fillId="41" fontId="6" numFmtId="169" xfId="0" applyAlignment="1" applyBorder="1" applyFont="1" applyNumberFormat="1">
      <alignment horizontal="center" shrinkToFit="0" vertical="center" wrapText="1"/>
    </xf>
    <xf borderId="20" fillId="41" fontId="6" numFmtId="0" xfId="0" applyAlignment="1" applyBorder="1" applyFont="1">
      <alignment readingOrder="0" shrinkToFit="0" vertical="center" wrapText="1"/>
    </xf>
    <xf borderId="26" fillId="41" fontId="6" numFmtId="0" xfId="0" applyAlignment="1" applyBorder="1" applyFont="1">
      <alignment readingOrder="0" shrinkToFit="0" vertical="center" wrapText="1"/>
    </xf>
    <xf borderId="0" fillId="53" fontId="5" numFmtId="0" xfId="0" applyAlignment="1" applyFont="1">
      <alignment horizontal="center" readingOrder="0" vertical="center"/>
    </xf>
    <xf borderId="23" fillId="19" fontId="16" numFmtId="0" xfId="0" applyBorder="1" applyFont="1"/>
    <xf borderId="20" fillId="29" fontId="6" numFmtId="166" xfId="0" applyAlignment="1" applyBorder="1" applyFont="1" applyNumberFormat="1">
      <alignment horizontal="center" shrinkToFit="0" vertical="center" wrapText="1"/>
    </xf>
    <xf borderId="20" fillId="29" fontId="6" numFmtId="166" xfId="0" applyAlignment="1" applyBorder="1" applyFont="1" applyNumberFormat="1">
      <alignment horizontal="right" shrinkToFit="0" vertical="center" wrapText="1"/>
    </xf>
    <xf borderId="20" fillId="29" fontId="6" numFmtId="169" xfId="0" applyAlignment="1" applyBorder="1" applyFont="1" applyNumberFormat="1">
      <alignment horizontal="center" shrinkToFit="0" vertical="center" wrapText="1"/>
    </xf>
    <xf borderId="20" fillId="29" fontId="6" numFmtId="0" xfId="0" applyAlignment="1" applyBorder="1" applyFont="1">
      <alignment readingOrder="0" shrinkToFit="0" vertical="center" wrapText="1"/>
    </xf>
    <xf borderId="26" fillId="29" fontId="6" numFmtId="0" xfId="0" applyAlignment="1" applyBorder="1" applyFont="1">
      <alignment readingOrder="0" shrinkToFit="0" vertical="center" wrapText="1"/>
    </xf>
    <xf borderId="0" fillId="55" fontId="5" numFmtId="0" xfId="0" applyAlignment="1" applyFont="1">
      <alignment horizontal="center" readingOrder="0" vertical="center"/>
    </xf>
    <xf borderId="20" fillId="17" fontId="6" numFmtId="166" xfId="0" applyAlignment="1" applyBorder="1" applyFont="1" applyNumberFormat="1">
      <alignment horizontal="center" shrinkToFit="0" vertical="center" wrapText="1"/>
    </xf>
    <xf borderId="20" fillId="17" fontId="6" numFmtId="166" xfId="0" applyAlignment="1" applyBorder="1" applyFont="1" applyNumberFormat="1">
      <alignment horizontal="right" shrinkToFit="0" vertical="center" wrapText="1"/>
    </xf>
    <xf borderId="20" fillId="17" fontId="6" numFmtId="169" xfId="0" applyAlignment="1" applyBorder="1" applyFont="1" applyNumberFormat="1">
      <alignment horizontal="center" shrinkToFit="0" vertical="center" wrapText="1"/>
    </xf>
    <xf borderId="20" fillId="17" fontId="6" numFmtId="0" xfId="0" applyAlignment="1" applyBorder="1" applyFont="1">
      <alignment readingOrder="0" shrinkToFit="0" vertical="center" wrapText="1"/>
    </xf>
    <xf borderId="26" fillId="17" fontId="6" numFmtId="0" xfId="0" applyAlignment="1" applyBorder="1" applyFont="1">
      <alignment readingOrder="0" shrinkToFit="0" vertical="center" wrapText="1"/>
    </xf>
    <xf borderId="12" fillId="38" fontId="20" numFmtId="0" xfId="0" applyAlignment="1" applyBorder="1" applyFont="1">
      <alignment readingOrder="0" shrinkToFit="0" wrapText="1"/>
    </xf>
    <xf borderId="12" fillId="19" fontId="16" numFmtId="0" xfId="0" applyBorder="1" applyFont="1"/>
    <xf borderId="15" fillId="38" fontId="20" numFmtId="166" xfId="0" applyAlignment="1" applyBorder="1" applyFont="1" applyNumberFormat="1">
      <alignment horizontal="center" shrinkToFit="0" wrapText="1"/>
    </xf>
    <xf borderId="15" fillId="19" fontId="16" numFmtId="0" xfId="0" applyAlignment="1" applyBorder="1" applyFont="1">
      <alignment horizontal="center"/>
    </xf>
    <xf borderId="15" fillId="38" fontId="20" numFmtId="166" xfId="0" applyAlignment="1" applyBorder="1" applyFont="1" applyNumberFormat="1">
      <alignment horizontal="right" shrinkToFit="0" wrapText="1"/>
    </xf>
    <xf borderId="15" fillId="19" fontId="6" numFmtId="0" xfId="0" applyBorder="1" applyFont="1"/>
    <xf borderId="15" fillId="38" fontId="20" numFmtId="169" xfId="0" applyAlignment="1" applyBorder="1" applyFont="1" applyNumberFormat="1">
      <alignment horizontal="center" readingOrder="0" shrinkToFit="0" wrapText="1"/>
    </xf>
    <xf borderId="15" fillId="38" fontId="20" numFmtId="0" xfId="0" applyAlignment="1" applyBorder="1" applyFont="1">
      <alignment shrinkToFit="0" wrapText="1"/>
    </xf>
    <xf borderId="15" fillId="19" fontId="6" numFmtId="0" xfId="0" applyAlignment="1" applyBorder="1" applyFont="1">
      <alignment readingOrder="0"/>
    </xf>
    <xf borderId="16" fillId="38" fontId="20" numFmtId="0" xfId="0" applyAlignment="1" applyBorder="1" applyFont="1">
      <alignment shrinkToFit="0" wrapText="1"/>
    </xf>
    <xf borderId="0" fillId="0" fontId="6" numFmtId="0" xfId="0" applyAlignment="1" applyFont="1">
      <alignment readingOrder="0" shrinkToFit="0" vertical="top" wrapText="1"/>
    </xf>
    <xf borderId="16" fillId="19" fontId="6" numFmtId="0" xfId="0" applyBorder="1" applyFont="1"/>
    <xf borderId="59" fillId="58" fontId="19" numFmtId="0" xfId="0" applyBorder="1" applyFill="1" applyFont="1"/>
    <xf borderId="1" fillId="3" fontId="58" numFmtId="0" xfId="0" applyAlignment="1" applyBorder="1" applyFont="1">
      <alignment readingOrder="0"/>
    </xf>
    <xf borderId="4" fillId="3" fontId="58" numFmtId="0" xfId="0" applyBorder="1" applyFont="1"/>
    <xf borderId="60" fillId="58" fontId="19" numFmtId="0" xfId="0" applyBorder="1" applyFont="1"/>
    <xf borderId="19" fillId="0" fontId="6" numFmtId="0" xfId="0" applyAlignment="1" applyBorder="1" applyFont="1">
      <alignment readingOrder="0"/>
    </xf>
    <xf borderId="60" fillId="58" fontId="19" numFmtId="166" xfId="0" applyBorder="1" applyFont="1" applyNumberFormat="1"/>
    <xf borderId="59" fillId="0" fontId="6" numFmtId="0" xfId="0" applyAlignment="1" applyBorder="1" applyFont="1">
      <alignment readingOrder="0"/>
    </xf>
    <xf borderId="61" fillId="58" fontId="19" numFmtId="166" xfId="0" applyBorder="1" applyFont="1" applyNumberFormat="1"/>
    <xf borderId="59" fillId="58" fontId="19" numFmtId="166" xfId="0" applyBorder="1" applyFont="1" applyNumberFormat="1"/>
    <xf borderId="0" fillId="59" fontId="5" numFmtId="0" xfId="0" applyAlignment="1" applyFill="1" applyFont="1">
      <alignment readingOrder="0"/>
    </xf>
    <xf borderId="0" fillId="59" fontId="5" numFmtId="0" xfId="0" applyFont="1"/>
    <xf borderId="62" fillId="58" fontId="19" numFmtId="166" xfId="0" applyBorder="1" applyFont="1" applyNumberFormat="1"/>
    <xf borderId="0" fillId="59" fontId="5" numFmtId="166" xfId="0" applyAlignment="1" applyFont="1" applyNumberFormat="1">
      <alignment horizontal="right"/>
    </xf>
    <xf borderId="5" fillId="59" fontId="5" numFmtId="166" xfId="0" applyAlignment="1" applyBorder="1" applyFont="1" applyNumberFormat="1">
      <alignment horizontal="right"/>
    </xf>
    <xf borderId="0" fillId="3" fontId="21" numFmtId="0" xfId="0" applyAlignment="1" applyFont="1">
      <alignment readingOrder="0" shrinkToFit="0" vertical="center" wrapText="1"/>
    </xf>
    <xf borderId="7" fillId="59" fontId="5" numFmtId="166" xfId="0" applyAlignment="1" applyBorder="1" applyFont="1" applyNumberFormat="1">
      <alignment horizontal="right"/>
    </xf>
    <xf borderId="0" fillId="3" fontId="58" numFmtId="0" xfId="0" applyFont="1"/>
    <xf borderId="49" fillId="13" fontId="60" numFmtId="0" xfId="0" applyAlignment="1" applyBorder="1" applyFont="1">
      <alignment horizontal="center" readingOrder="0" shrinkToFit="0" vertical="center" wrapText="1"/>
    </xf>
    <xf borderId="104" fillId="3" fontId="58" numFmtId="166" xfId="0" applyAlignment="1" applyBorder="1" applyFont="1" applyNumberFormat="1">
      <alignment horizontal="center"/>
    </xf>
    <xf borderId="36" fillId="13" fontId="60" numFmtId="0" xfId="0" applyAlignment="1" applyBorder="1" applyFont="1">
      <alignment horizontal="center" readingOrder="0" shrinkToFit="0" vertical="center" wrapText="1"/>
    </xf>
    <xf borderId="35" fillId="13" fontId="60" numFmtId="0" xfId="0" applyAlignment="1" applyBorder="1" applyFont="1">
      <alignment horizontal="center" readingOrder="0" shrinkToFit="0" vertical="center" wrapText="1"/>
    </xf>
    <xf borderId="105" fillId="3" fontId="58" numFmtId="166" xfId="0" applyAlignment="1" applyBorder="1" applyFont="1" applyNumberFormat="1">
      <alignment horizontal="center"/>
    </xf>
    <xf borderId="94" fillId="15" fontId="24" numFmtId="0" xfId="0" applyAlignment="1" applyBorder="1" applyFont="1">
      <alignment readingOrder="0" shrinkToFit="0" vertical="center" wrapText="1"/>
    </xf>
    <xf borderId="0" fillId="57" fontId="5" numFmtId="0" xfId="0" applyAlignment="1" applyFont="1">
      <alignment readingOrder="0"/>
    </xf>
    <xf borderId="0" fillId="57" fontId="5" numFmtId="0" xfId="0" applyFont="1"/>
    <xf borderId="0" fillId="57" fontId="5" numFmtId="166" xfId="0" applyAlignment="1" applyFont="1" applyNumberFormat="1">
      <alignment horizontal="right"/>
    </xf>
    <xf borderId="5" fillId="57" fontId="5" numFmtId="166" xfId="0" applyAlignment="1" applyBorder="1" applyFont="1" applyNumberFormat="1">
      <alignment horizontal="right"/>
    </xf>
    <xf borderId="7" fillId="57" fontId="5" numFmtId="166" xfId="0" applyAlignment="1" applyBorder="1" applyFont="1" applyNumberFormat="1">
      <alignment horizontal="right"/>
    </xf>
    <xf borderId="105" fillId="3" fontId="61" numFmtId="166" xfId="0" applyAlignment="1" applyBorder="1" applyFont="1" applyNumberFormat="1">
      <alignment horizontal="center"/>
    </xf>
    <xf borderId="106" fillId="3" fontId="61" numFmtId="166" xfId="0" applyAlignment="1" applyBorder="1" applyFont="1" applyNumberFormat="1">
      <alignment horizontal="center"/>
    </xf>
    <xf borderId="40" fillId="15" fontId="24" numFmtId="1" xfId="0" applyAlignment="1" applyBorder="1" applyFont="1" applyNumberFormat="1">
      <alignment horizontal="center" shrinkToFit="0" vertical="center" wrapText="1"/>
    </xf>
    <xf borderId="39" fillId="15" fontId="24" numFmtId="0" xfId="0" applyAlignment="1" applyBorder="1" applyFont="1">
      <alignment readingOrder="0" shrinkToFit="0" vertical="center" wrapText="1"/>
    </xf>
    <xf borderId="0" fillId="0" fontId="62" numFmtId="0" xfId="0" applyFont="1"/>
    <xf borderId="0" fillId="47" fontId="5" numFmtId="0" xfId="0" applyAlignment="1" applyFont="1">
      <alignment readingOrder="0"/>
    </xf>
    <xf borderId="0" fillId="47" fontId="5" numFmtId="0" xfId="0" applyFont="1"/>
    <xf borderId="0" fillId="47" fontId="5" numFmtId="166" xfId="0" applyAlignment="1" applyFont="1" applyNumberFormat="1">
      <alignment horizontal="right"/>
    </xf>
    <xf borderId="1" fillId="3" fontId="14" numFmtId="0" xfId="0" applyAlignment="1" applyBorder="1" applyFont="1">
      <alignment horizontal="center" shrinkToFit="0" wrapText="1"/>
    </xf>
    <xf borderId="3" fillId="3" fontId="14" numFmtId="0" xfId="0" applyAlignment="1" applyBorder="1" applyFont="1">
      <alignment horizontal="center" shrinkToFit="0" wrapText="1"/>
    </xf>
    <xf borderId="5" fillId="47" fontId="5" numFmtId="166" xfId="0" applyAlignment="1" applyBorder="1" applyFont="1" applyNumberFormat="1">
      <alignment horizontal="right"/>
    </xf>
    <xf borderId="4" fillId="3" fontId="14" numFmtId="0" xfId="0" applyAlignment="1" applyBorder="1" applyFont="1">
      <alignment horizontal="center" shrinkToFit="0" wrapText="1"/>
    </xf>
    <xf borderId="7" fillId="47" fontId="5" numFmtId="166" xfId="0" applyAlignment="1" applyBorder="1" applyFont="1" applyNumberFormat="1">
      <alignment horizontal="right"/>
    </xf>
    <xf borderId="0" fillId="0" fontId="63" numFmtId="0" xfId="0" applyAlignment="1" applyFont="1">
      <alignment vertical="top"/>
    </xf>
    <xf borderId="0" fillId="0" fontId="64" numFmtId="0" xfId="0" applyAlignment="1" applyFont="1">
      <alignment readingOrder="0" vertical="top"/>
    </xf>
    <xf borderId="0" fillId="0" fontId="65" numFmtId="0" xfId="0" applyFont="1"/>
    <xf borderId="19" fillId="31" fontId="16" numFmtId="0" xfId="0" applyBorder="1" applyFont="1"/>
    <xf borderId="20" fillId="31" fontId="16" numFmtId="166" xfId="0" applyBorder="1" applyFont="1" applyNumberFormat="1"/>
    <xf borderId="40" fillId="7" fontId="24" numFmtId="0" xfId="0" applyAlignment="1" applyBorder="1" applyFont="1">
      <alignment horizontal="center" shrinkToFit="0" vertical="center" wrapText="1"/>
    </xf>
    <xf borderId="20" fillId="31" fontId="16" numFmtId="169" xfId="0" applyBorder="1" applyFont="1" applyNumberFormat="1"/>
    <xf borderId="26" fillId="31" fontId="16" numFmtId="0" xfId="0" applyBorder="1" applyFont="1"/>
    <xf borderId="0" fillId="0" fontId="57" numFmtId="0" xfId="0" applyAlignment="1" applyFont="1">
      <alignment vertical="top"/>
    </xf>
    <xf borderId="0" fillId="60" fontId="6" numFmtId="0" xfId="0" applyAlignment="1" applyFill="1" applyFont="1">
      <alignment readingOrder="0"/>
    </xf>
    <xf borderId="0" fillId="0" fontId="66" numFmtId="0" xfId="0" applyAlignment="1" applyFont="1">
      <alignment vertical="top"/>
    </xf>
    <xf borderId="0" fillId="60" fontId="6" numFmtId="166" xfId="0" applyAlignment="1" applyFont="1" applyNumberFormat="1">
      <alignment horizontal="right" readingOrder="0"/>
    </xf>
    <xf borderId="0" fillId="60" fontId="6" numFmtId="166" xfId="0" applyAlignment="1" applyFont="1" applyNumberFormat="1">
      <alignment horizontal="right"/>
    </xf>
    <xf borderId="19" fillId="0" fontId="16" numFmtId="0" xfId="0" applyBorder="1" applyFont="1"/>
    <xf borderId="40" fillId="15" fontId="24" numFmtId="175" xfId="0" applyAlignment="1" applyBorder="1" applyFont="1" applyNumberFormat="1">
      <alignment horizontal="center" shrinkToFit="0" vertical="center" wrapText="1"/>
    </xf>
    <xf borderId="20" fillId="0" fontId="16" numFmtId="166" xfId="0" applyBorder="1" applyFont="1" applyNumberFormat="1"/>
    <xf borderId="5" fillId="60" fontId="6" numFmtId="166" xfId="0" applyAlignment="1" applyBorder="1" applyFont="1" applyNumberFormat="1">
      <alignment horizontal="right"/>
    </xf>
    <xf borderId="7" fillId="60" fontId="6" numFmtId="166" xfId="0" applyAlignment="1" applyBorder="1" applyFont="1" applyNumberFormat="1">
      <alignment horizontal="right"/>
    </xf>
    <xf borderId="20" fillId="0" fontId="16" numFmtId="169" xfId="0" applyBorder="1" applyFont="1" applyNumberFormat="1"/>
    <xf borderId="26" fillId="0" fontId="16" numFmtId="0" xfId="0" applyBorder="1" applyFont="1"/>
    <xf borderId="40" fillId="7" fontId="24" numFmtId="175" xfId="0" applyAlignment="1" applyBorder="1" applyFont="1" applyNumberFormat="1">
      <alignment horizontal="center" shrinkToFit="0" vertical="center" wrapText="1"/>
    </xf>
    <xf borderId="0" fillId="61" fontId="5" numFmtId="0" xfId="0" applyAlignment="1" applyFill="1" applyFont="1">
      <alignment readingOrder="0"/>
    </xf>
    <xf borderId="0" fillId="61" fontId="5" numFmtId="0" xfId="0" applyFont="1"/>
    <xf borderId="0" fillId="61" fontId="5" numFmtId="166" xfId="0" applyAlignment="1" applyFont="1" applyNumberFormat="1">
      <alignment horizontal="right"/>
    </xf>
    <xf borderId="5" fillId="61" fontId="5" numFmtId="166" xfId="0" applyAlignment="1" applyBorder="1" applyFont="1" applyNumberFormat="1">
      <alignment horizontal="right"/>
    </xf>
    <xf borderId="7" fillId="61" fontId="5" numFmtId="166" xfId="0" applyAlignment="1" applyBorder="1" applyFont="1" applyNumberFormat="1">
      <alignment horizontal="right"/>
    </xf>
    <xf borderId="0" fillId="0" fontId="43" numFmtId="0" xfId="0" applyAlignment="1" applyFont="1">
      <alignment vertical="top"/>
    </xf>
    <xf borderId="96" fillId="15" fontId="24" numFmtId="0" xfId="0" applyAlignment="1" applyBorder="1" applyFont="1">
      <alignment horizontal="center" shrinkToFit="0" vertical="center" wrapText="1"/>
    </xf>
    <xf borderId="59" fillId="38" fontId="19" numFmtId="0" xfId="0" applyBorder="1" applyFont="1"/>
    <xf borderId="60" fillId="38" fontId="19" numFmtId="166" xfId="0" applyBorder="1" applyFont="1" applyNumberFormat="1"/>
    <xf borderId="60" fillId="38" fontId="19" numFmtId="169" xfId="0" applyBorder="1" applyFont="1" applyNumberFormat="1"/>
    <xf borderId="62" fillId="38" fontId="19" numFmtId="0" xfId="0" applyBorder="1" applyFont="1"/>
    <xf borderId="40" fillId="46" fontId="67" numFmtId="172" xfId="0" applyAlignment="1" applyBorder="1" applyFont="1" applyNumberFormat="1">
      <alignment shrinkToFit="0" vertical="center" wrapText="1"/>
    </xf>
    <xf borderId="40" fillId="46" fontId="67" numFmtId="175" xfId="0" applyAlignment="1" applyBorder="1" applyFont="1" applyNumberFormat="1">
      <alignment shrinkToFit="0" vertical="center" wrapText="1"/>
    </xf>
    <xf borderId="97" fillId="31" fontId="19" numFmtId="0" xfId="0" applyBorder="1" applyFont="1"/>
    <xf borderId="100" fillId="31" fontId="16" numFmtId="0" xfId="0" applyBorder="1" applyFont="1"/>
    <xf borderId="40" fillId="11" fontId="68" numFmtId="0" xfId="0" applyAlignment="1" applyBorder="1" applyFont="1">
      <alignment readingOrder="0" shrinkToFit="0" vertical="center" wrapText="1"/>
    </xf>
    <xf borderId="40" fillId="15" fontId="24" numFmtId="0" xfId="0" applyAlignment="1" applyBorder="1" applyFont="1">
      <alignment shrinkToFit="0" vertical="center" wrapText="1"/>
    </xf>
    <xf borderId="99" fillId="31" fontId="16" numFmtId="166" xfId="0" applyBorder="1" applyFont="1" applyNumberFormat="1"/>
    <xf borderId="19" fillId="0" fontId="19" numFmtId="0" xfId="0" applyBorder="1" applyFont="1"/>
    <xf borderId="40" fillId="18" fontId="67" numFmtId="172" xfId="0" applyAlignment="1" applyBorder="1" applyFont="1" applyNumberFormat="1">
      <alignment shrinkToFit="0" vertical="center" wrapText="1"/>
    </xf>
    <xf borderId="20" fillId="0" fontId="16" numFmtId="0" xfId="0" applyBorder="1" applyFont="1"/>
    <xf borderId="40" fillId="18" fontId="67" numFmtId="175" xfId="0" applyAlignment="1" applyBorder="1" applyFont="1" applyNumberFormat="1">
      <alignment shrinkToFit="0" vertical="center" wrapText="1"/>
    </xf>
    <xf borderId="26" fillId="0" fontId="16" numFmtId="166" xfId="0" applyBorder="1" applyFont="1" applyNumberFormat="1"/>
    <xf borderId="40" fillId="7" fontId="24" numFmtId="0" xfId="0" applyAlignment="1" applyBorder="1" applyFont="1">
      <alignment shrinkToFit="0" vertical="center" wrapText="1"/>
    </xf>
    <xf borderId="40" fillId="7" fontId="24" numFmtId="0" xfId="0" applyAlignment="1" applyBorder="1" applyFont="1">
      <alignment readingOrder="0" shrinkToFit="0" vertical="center" wrapText="1"/>
    </xf>
    <xf borderId="19" fillId="31" fontId="19" numFmtId="0" xfId="0" applyBorder="1" applyFont="1"/>
    <xf borderId="20" fillId="31" fontId="16" numFmtId="0" xfId="0" applyBorder="1" applyFont="1"/>
    <xf borderId="26" fillId="31" fontId="16" numFmtId="166" xfId="0" applyBorder="1" applyFont="1" applyNumberFormat="1"/>
    <xf borderId="97" fillId="3" fontId="5" numFmtId="0" xfId="0" applyAlignment="1" applyBorder="1" applyFont="1">
      <alignment horizontal="center" readingOrder="0" shrinkToFit="0" wrapText="1"/>
    </xf>
    <xf borderId="95" fillId="36" fontId="41" numFmtId="0" xfId="0" applyAlignment="1" applyBorder="1" applyFont="1">
      <alignment readingOrder="0" shrinkToFit="0" vertical="center" wrapText="1"/>
    </xf>
    <xf borderId="0" fillId="0" fontId="10" numFmtId="0" xfId="0" applyAlignment="1" applyFont="1">
      <alignment readingOrder="0" shrinkToFit="0" vertical="top" wrapText="1"/>
    </xf>
    <xf borderId="0" fillId="54" fontId="5" numFmtId="0" xfId="0" applyAlignment="1" applyFont="1">
      <alignment horizontal="center" readingOrder="0" shrinkToFit="0" vertical="center" wrapText="1"/>
    </xf>
    <xf borderId="96" fillId="36" fontId="41" numFmtId="172" xfId="0" applyAlignment="1" applyBorder="1" applyFont="1" applyNumberFormat="1">
      <alignment shrinkToFit="0" vertical="center" wrapText="1"/>
    </xf>
    <xf borderId="96" fillId="36" fontId="41" numFmtId="175" xfId="0" applyAlignment="1" applyBorder="1" applyFont="1" applyNumberFormat="1">
      <alignment shrinkToFit="0" vertical="center" wrapText="1"/>
    </xf>
    <xf borderId="96" fillId="36" fontId="41" numFmtId="0" xfId="0" applyAlignment="1" applyBorder="1" applyFont="1">
      <alignment shrinkToFit="0" vertical="center" wrapText="1"/>
    </xf>
    <xf borderId="98" fillId="36" fontId="41" numFmtId="0" xfId="0" applyAlignment="1" applyBorder="1" applyFont="1">
      <alignment readingOrder="0" shrinkToFit="0" vertical="center" wrapText="1"/>
    </xf>
    <xf borderId="0" fillId="5" fontId="41" numFmtId="0" xfId="0" applyAlignment="1" applyFont="1">
      <alignment shrinkToFit="0" vertical="center" wrapText="1"/>
    </xf>
    <xf borderId="0" fillId="49" fontId="69" numFmtId="0" xfId="0" applyAlignment="1" applyFont="1">
      <alignment horizontal="center" shrinkToFit="0" vertical="center" wrapText="1"/>
    </xf>
    <xf borderId="20" fillId="25" fontId="6" numFmtId="166" xfId="0" applyAlignment="1" applyBorder="1" applyFont="1" applyNumberFormat="1">
      <alignment horizontal="center" shrinkToFit="0" vertical="center" wrapText="1"/>
    </xf>
    <xf borderId="20" fillId="25" fontId="6" numFmtId="169" xfId="0" applyAlignment="1" applyBorder="1" applyFont="1" applyNumberFormat="1">
      <alignment horizontal="center" shrinkToFit="0" vertical="center" wrapText="1"/>
    </xf>
    <xf borderId="20" fillId="25" fontId="6" numFmtId="0" xfId="0" applyAlignment="1" applyBorder="1" applyFont="1">
      <alignment readingOrder="0" shrinkToFit="0" vertical="center" wrapText="1"/>
    </xf>
    <xf borderId="26" fillId="25" fontId="6" numFmtId="0" xfId="0" applyAlignment="1" applyBorder="1" applyFont="1">
      <alignment readingOrder="0" shrinkToFit="0" vertical="center" wrapText="1"/>
    </xf>
    <xf borderId="0" fillId="62" fontId="69" numFmtId="0" xfId="0" applyAlignment="1" applyFill="1" applyFont="1">
      <alignment horizontal="center" shrinkToFit="0" vertical="center" wrapText="1"/>
    </xf>
    <xf borderId="49" fillId="63" fontId="60" numFmtId="0" xfId="0" applyAlignment="1" applyBorder="1" applyFill="1" applyFont="1">
      <alignment horizontal="center" readingOrder="0" shrinkToFit="0" vertical="center" wrapText="1"/>
    </xf>
    <xf borderId="36" fillId="63" fontId="60" numFmtId="0" xfId="0" applyAlignment="1" applyBorder="1" applyFont="1">
      <alignment horizontal="center" readingOrder="0" shrinkToFit="0" vertical="center" wrapText="1"/>
    </xf>
    <xf borderId="20" fillId="16" fontId="6" numFmtId="166" xfId="0" applyAlignment="1" applyBorder="1" applyFont="1" applyNumberFormat="1">
      <alignment horizontal="center" shrinkToFit="0" vertical="center" wrapText="1"/>
    </xf>
    <xf borderId="20" fillId="16" fontId="6" numFmtId="169" xfId="0" applyAlignment="1" applyBorder="1" applyFont="1" applyNumberFormat="1">
      <alignment horizontal="center" shrinkToFit="0" vertical="center" wrapText="1"/>
    </xf>
    <xf borderId="20" fillId="16" fontId="6" numFmtId="0" xfId="0" applyAlignment="1" applyBorder="1" applyFont="1">
      <alignment readingOrder="0" shrinkToFit="0" vertical="center" wrapText="1"/>
    </xf>
    <xf borderId="35" fillId="63" fontId="60" numFmtId="0" xfId="0" applyAlignment="1" applyBorder="1" applyFont="1">
      <alignment horizontal="center" readingOrder="0" shrinkToFit="0" vertical="center" wrapText="1"/>
    </xf>
    <xf borderId="26" fillId="16" fontId="6" numFmtId="0" xfId="0" applyAlignment="1" applyBorder="1" applyFont="1">
      <alignment readingOrder="0" shrinkToFit="0" vertical="center" wrapText="1"/>
    </xf>
    <xf borderId="0" fillId="57" fontId="69" numFmtId="0" xfId="0" applyAlignment="1" applyFont="1">
      <alignment horizontal="center" shrinkToFit="0" vertical="center" wrapText="1"/>
    </xf>
    <xf borderId="20" fillId="19" fontId="6" numFmtId="166" xfId="0" applyAlignment="1" applyBorder="1" applyFont="1" applyNumberFormat="1">
      <alignment horizontal="center" shrinkToFit="0" vertical="center" wrapText="1"/>
    </xf>
    <xf borderId="40" fillId="46" fontId="67" numFmtId="0" xfId="0" applyAlignment="1" applyBorder="1" applyFont="1">
      <alignment shrinkToFit="0" vertical="center" wrapText="1"/>
    </xf>
    <xf borderId="20" fillId="19" fontId="6" numFmtId="169" xfId="0" applyAlignment="1" applyBorder="1" applyFont="1" applyNumberFormat="1">
      <alignment horizontal="center" shrinkToFit="0" vertical="center" wrapText="1"/>
    </xf>
    <xf borderId="20" fillId="19" fontId="6" numFmtId="0" xfId="0" applyAlignment="1" applyBorder="1" applyFont="1">
      <alignment readingOrder="0" shrinkToFit="0" vertical="center" wrapText="1"/>
    </xf>
    <xf borderId="0" fillId="0" fontId="57" numFmtId="0" xfId="0" applyAlignment="1" applyFont="1">
      <alignment readingOrder="0" vertical="top"/>
    </xf>
    <xf borderId="40" fillId="11" fontId="68" numFmtId="0" xfId="0" applyAlignment="1" applyBorder="1" applyFont="1">
      <alignment readingOrder="0" shrinkToFit="0" vertical="center" wrapText="1"/>
    </xf>
    <xf borderId="26" fillId="19" fontId="6" numFmtId="0" xfId="0" applyAlignment="1" applyBorder="1" applyFont="1">
      <alignment readingOrder="0" shrinkToFit="0" vertical="center" wrapText="1"/>
    </xf>
    <xf borderId="0" fillId="47" fontId="69" numFmtId="0" xfId="0" applyAlignment="1" applyFont="1">
      <alignment horizontal="center" shrinkToFit="0" vertical="center" wrapText="1"/>
    </xf>
    <xf borderId="20" fillId="37" fontId="6" numFmtId="166" xfId="0" applyAlignment="1" applyBorder="1" applyFont="1" applyNumberFormat="1">
      <alignment horizontal="center" shrinkToFit="0" vertical="center" wrapText="1"/>
    </xf>
    <xf borderId="20" fillId="37" fontId="6" numFmtId="169" xfId="0" applyAlignment="1" applyBorder="1" applyFont="1" applyNumberFormat="1">
      <alignment horizontal="center" shrinkToFit="0" vertical="center" wrapText="1"/>
    </xf>
    <xf borderId="40" fillId="64" fontId="24" numFmtId="176" xfId="0" applyAlignment="1" applyBorder="1" applyFill="1" applyFont="1" applyNumberFormat="1">
      <alignment shrinkToFit="0" vertical="center" wrapText="1"/>
    </xf>
    <xf borderId="20" fillId="37" fontId="6" numFmtId="0" xfId="0" applyAlignment="1" applyBorder="1" applyFont="1">
      <alignment readingOrder="0" shrinkToFit="0" vertical="center" wrapText="1"/>
    </xf>
    <xf borderId="26" fillId="37" fontId="6" numFmtId="0" xfId="0" applyAlignment="1" applyBorder="1" applyFont="1">
      <alignment readingOrder="0" shrinkToFit="0" vertical="center" wrapText="1"/>
    </xf>
    <xf borderId="26" fillId="0" fontId="16" numFmtId="169" xfId="0" applyBorder="1" applyFont="1" applyNumberFormat="1"/>
    <xf borderId="0" fillId="61" fontId="5" numFmtId="0" xfId="0" applyAlignment="1" applyFont="1">
      <alignment horizontal="center" readingOrder="0" shrinkToFit="0" vertical="center" wrapText="1"/>
    </xf>
    <xf borderId="40" fillId="11" fontId="68" numFmtId="175" xfId="0" applyAlignment="1" applyBorder="1" applyFont="1" applyNumberFormat="1">
      <alignment readingOrder="0" shrinkToFit="0" vertical="center" wrapText="1"/>
    </xf>
    <xf borderId="40" fillId="64" fontId="24" numFmtId="175" xfId="0" applyAlignment="1" applyBorder="1" applyFont="1" applyNumberFormat="1">
      <alignment shrinkToFit="0" vertical="center" wrapText="1"/>
    </xf>
    <xf borderId="40" fillId="64" fontId="24" numFmtId="177" xfId="0" applyAlignment="1" applyBorder="1" applyFont="1" applyNumberFormat="1">
      <alignment shrinkToFit="0" vertical="center" wrapText="1"/>
    </xf>
    <xf borderId="59" fillId="0" fontId="19" numFmtId="0" xfId="0" applyBorder="1" applyFont="1"/>
    <xf borderId="60" fillId="0" fontId="16" numFmtId="0" xfId="0" applyBorder="1" applyFont="1"/>
    <xf borderId="40" fillId="64" fontId="24" numFmtId="169" xfId="0" applyAlignment="1" applyBorder="1" applyFont="1" applyNumberFormat="1">
      <alignment shrinkToFit="0" vertical="center" wrapText="1"/>
    </xf>
    <xf borderId="62" fillId="0" fontId="16" numFmtId="169" xfId="0" applyBorder="1" applyFont="1" applyNumberFormat="1"/>
    <xf borderId="19" fillId="7" fontId="6" numFmtId="0" xfId="0" applyAlignment="1" applyBorder="1" applyFont="1">
      <alignment readingOrder="0"/>
    </xf>
    <xf borderId="26" fillId="7" fontId="6" numFmtId="166" xfId="0" applyAlignment="1" applyBorder="1" applyFont="1" applyNumberFormat="1">
      <alignment horizontal="right"/>
    </xf>
    <xf borderId="39" fillId="64" fontId="24" numFmtId="175" xfId="0" applyAlignment="1" applyBorder="1" applyFont="1" applyNumberFormat="1">
      <alignment shrinkToFit="0" vertical="center" wrapText="1"/>
    </xf>
    <xf borderId="59" fillId="7" fontId="6" numFmtId="0" xfId="0" applyAlignment="1" applyBorder="1" applyFont="1">
      <alignment readingOrder="0"/>
    </xf>
    <xf borderId="40" fillId="11" fontId="68" numFmtId="175" xfId="0" applyAlignment="1" applyBorder="1" applyFont="1" applyNumberFormat="1">
      <alignment shrinkToFit="0" vertical="center" wrapText="1"/>
    </xf>
    <xf borderId="62" fillId="7" fontId="6" numFmtId="166" xfId="0" applyAlignment="1" applyBorder="1" applyFont="1" applyNumberFormat="1">
      <alignment horizontal="right"/>
    </xf>
    <xf borderId="58" fillId="28" fontId="7" numFmtId="0" xfId="0" applyAlignment="1" applyBorder="1" applyFont="1">
      <alignment horizontal="center"/>
    </xf>
    <xf borderId="58" fillId="35" fontId="70" numFmtId="0" xfId="0" applyAlignment="1" applyBorder="1" applyFont="1">
      <alignment horizontal="center" readingOrder="0" vertical="center"/>
    </xf>
    <xf borderId="98" fillId="36" fontId="41" numFmtId="175" xfId="0" applyAlignment="1" applyBorder="1" applyFont="1" applyNumberFormat="1">
      <alignment shrinkToFit="0" vertical="center" wrapText="1"/>
    </xf>
    <xf borderId="40" fillId="11" fontId="68" numFmtId="178" xfId="0" applyAlignment="1" applyBorder="1" applyFont="1" applyNumberFormat="1">
      <alignment readingOrder="0" shrinkToFit="0" vertical="center" wrapText="1"/>
    </xf>
    <xf borderId="40" fillId="46" fontId="67" numFmtId="175" xfId="0" applyAlignment="1" applyBorder="1" applyFont="1" applyNumberFormat="1">
      <alignment readingOrder="0" shrinkToFit="0" vertical="center" wrapText="1"/>
    </xf>
    <xf borderId="95" fillId="15" fontId="24" numFmtId="0" xfId="0" applyAlignment="1" applyBorder="1" applyFont="1">
      <alignment readingOrder="0" shrinkToFit="0" vertical="center" wrapText="1"/>
    </xf>
    <xf borderId="96" fillId="15" fontId="24" numFmtId="0" xfId="0" applyAlignment="1" applyBorder="1" applyFont="1">
      <alignment readingOrder="0" shrinkToFit="0" vertical="center" wrapText="1"/>
    </xf>
    <xf borderId="96" fillId="46" fontId="67" numFmtId="175" xfId="0" applyAlignment="1" applyBorder="1" applyFont="1" applyNumberFormat="1">
      <alignment shrinkToFit="0" vertical="center" wrapText="1"/>
    </xf>
    <xf borderId="96" fillId="11" fontId="68" numFmtId="175" xfId="0" applyAlignment="1" applyBorder="1" applyFont="1" applyNumberFormat="1">
      <alignment shrinkToFit="0" vertical="center" wrapText="1"/>
    </xf>
    <xf borderId="96" fillId="64" fontId="24" numFmtId="175" xfId="0" applyAlignment="1" applyBorder="1" applyFont="1" applyNumberFormat="1">
      <alignment shrinkToFit="0" vertical="center" wrapText="1"/>
    </xf>
    <xf borderId="98" fillId="15" fontId="24" numFmtId="0" xfId="0" applyAlignment="1" applyBorder="1" applyFont="1">
      <alignment readingOrder="0" shrinkToFit="0" vertical="center" wrapText="1"/>
    </xf>
    <xf borderId="40" fillId="5" fontId="24" numFmtId="175" xfId="0" applyAlignment="1" applyBorder="1" applyFont="1" applyNumberFormat="1">
      <alignment shrinkToFit="0" vertical="center" wrapText="1"/>
    </xf>
    <xf borderId="39" fillId="5" fontId="24" numFmtId="175" xfId="0" applyAlignment="1" applyBorder="1" applyFont="1" applyNumberFormat="1">
      <alignment shrinkToFit="0" vertical="center" wrapText="1"/>
    </xf>
    <xf borderId="40" fillId="7" fontId="24" numFmtId="175" xfId="0" applyAlignment="1" applyBorder="1" applyFont="1" applyNumberFormat="1">
      <alignment shrinkToFit="0" vertical="center" wrapText="1"/>
    </xf>
    <xf borderId="39" fillId="7" fontId="24" numFmtId="175" xfId="0" applyAlignment="1" applyBorder="1" applyFont="1" applyNumberFormat="1">
      <alignment shrinkToFit="0" vertical="center" wrapText="1"/>
    </xf>
    <xf borderId="0" fillId="5" fontId="24" numFmtId="175" xfId="0" applyAlignment="1" applyFont="1" applyNumberFormat="1">
      <alignment shrinkToFit="0" vertical="center" wrapText="1"/>
    </xf>
    <xf borderId="67" fillId="36" fontId="71" numFmtId="0" xfId="0" applyAlignment="1" applyBorder="1" applyFont="1">
      <alignment readingOrder="0" shrinkToFit="0" vertical="center" wrapText="1"/>
    </xf>
    <xf borderId="90" fillId="0" fontId="25" numFmtId="0" xfId="0" applyBorder="1" applyFont="1"/>
    <xf borderId="70" fillId="0" fontId="25" numFmtId="0" xfId="0" applyBorder="1" applyFont="1"/>
    <xf borderId="40" fillId="5" fontId="24" numFmtId="175" xfId="0" applyAlignment="1" applyBorder="1" applyFont="1" applyNumberFormat="1">
      <alignment readingOrder="0" shrinkToFit="0" vertical="center" wrapText="1"/>
    </xf>
    <xf borderId="40" fillId="7" fontId="24" numFmtId="175" xfId="0" applyAlignment="1" applyBorder="1" applyFont="1" applyNumberFormat="1">
      <alignment readingOrder="0" shrinkToFit="0" vertical="center" wrapText="1"/>
    </xf>
    <xf borderId="96" fillId="36" fontId="41" numFmtId="175" xfId="0" applyAlignment="1" applyBorder="1" applyFont="1" applyNumberFormat="1">
      <alignment readingOrder="0" shrinkToFit="0" vertical="center" wrapText="1"/>
    </xf>
    <xf borderId="94" fillId="36" fontId="41" numFmtId="0" xfId="0" applyAlignment="1" applyBorder="1" applyFont="1">
      <alignment readingOrder="0" shrinkToFit="0" vertical="center" wrapText="1"/>
    </xf>
    <xf borderId="40" fillId="36" fontId="41" numFmtId="175" xfId="0" applyAlignment="1" applyBorder="1" applyFont="1" applyNumberFormat="1">
      <alignment readingOrder="0" shrinkToFit="0" vertical="center" wrapText="1"/>
    </xf>
    <xf borderId="40" fillId="36" fontId="41" numFmtId="175" xfId="0" applyAlignment="1" applyBorder="1" applyFont="1" applyNumberFormat="1">
      <alignment shrinkToFit="0" vertical="center" wrapText="1"/>
    </xf>
    <xf borderId="39" fillId="36" fontId="41" numFmtId="175" xfId="0" applyAlignment="1" applyBorder="1" applyFont="1" applyNumberFormat="1">
      <alignment shrinkToFit="0" vertical="center" wrapText="1"/>
    </xf>
    <xf borderId="94" fillId="29" fontId="41" numFmtId="0" xfId="0" applyAlignment="1" applyBorder="1" applyFont="1">
      <alignment readingOrder="0" shrinkToFit="0" vertical="center" wrapText="1"/>
    </xf>
    <xf borderId="40" fillId="29" fontId="41" numFmtId="175" xfId="0" applyAlignment="1" applyBorder="1" applyFont="1" applyNumberFormat="1">
      <alignment shrinkToFit="0" vertical="center" wrapText="1"/>
    </xf>
    <xf borderId="39" fillId="29" fontId="41" numFmtId="175" xfId="0" applyAlignment="1" applyBorder="1" applyFont="1" applyNumberFormat="1">
      <alignment shrinkToFit="0" vertical="center" wrapText="1"/>
    </xf>
    <xf borderId="107" fillId="39" fontId="20" numFmtId="0" xfId="0" applyAlignment="1" applyBorder="1" applyFont="1">
      <alignment readingOrder="0" shrinkToFit="0" vertical="center" wrapText="1"/>
    </xf>
    <xf borderId="107" fillId="39" fontId="20" numFmtId="0" xfId="0" applyAlignment="1" applyBorder="1" applyFont="1">
      <alignment shrinkToFit="0" vertical="center" wrapText="1"/>
    </xf>
    <xf borderId="0" fillId="36" fontId="71" numFmtId="0" xfId="0" applyAlignment="1" applyFont="1">
      <alignment readingOrder="0" shrinkToFit="0" vertical="center" wrapText="1"/>
    </xf>
    <xf borderId="0" fillId="5" fontId="24" numFmtId="0" xfId="0" applyAlignment="1" applyFont="1">
      <alignment readingOrder="0" shrinkToFit="0" vertical="center" wrapText="1"/>
    </xf>
  </cellXfs>
  <cellStyles count="1">
    <cellStyle xfId="0" name="Normal" builtinId="0"/>
  </cellStyles>
  <dxfs count="9">
    <dxf>
      <font>
        <b/>
        <color rgb="FF006100"/>
      </font>
      <fill>
        <patternFill patternType="solid">
          <fgColor rgb="FFD9EEDB"/>
          <bgColor rgb="FFD9EEDB"/>
        </patternFill>
      </fill>
      <border/>
    </dxf>
    <dxf>
      <font>
        <b/>
        <color rgb="FF9C5700"/>
      </font>
      <fill>
        <patternFill patternType="solid">
          <fgColor rgb="FFFFF2A6"/>
          <bgColor rgb="FFFFF2A6"/>
        </patternFill>
      </fill>
      <border/>
    </dxf>
    <dxf>
      <font>
        <b/>
        <color rgb="FF38761D"/>
      </font>
      <fill>
        <patternFill patternType="solid">
          <fgColor rgb="FFD8EDD2"/>
          <bgColor rgb="FFD8EDD2"/>
        </patternFill>
      </fill>
      <border/>
    </dxf>
    <dxf>
      <font>
        <b/>
        <color rgb="FFA51B00"/>
      </font>
      <fill>
        <patternFill patternType="solid">
          <fgColor rgb="FFFCE5C9"/>
          <bgColor rgb="FFFCE5C9"/>
        </patternFill>
      </fill>
      <border/>
    </dxf>
    <dxf>
      <font/>
      <fill>
        <patternFill patternType="solid">
          <fgColor rgb="FFE5F9E8"/>
          <bgColor rgb="FFE5F9E8"/>
        </patternFill>
      </fill>
      <border/>
    </dxf>
    <dxf>
      <font/>
      <fill>
        <patternFill patternType="solid">
          <fgColor rgb="FFE5F2FF"/>
          <bgColor rgb="FFE5F2FF"/>
        </patternFill>
      </fill>
      <border/>
    </dxf>
    <dxf>
      <font/>
      <fill>
        <patternFill patternType="solid">
          <fgColor rgb="FFFFF4D1"/>
          <bgColor rgb="FFFFF4D1"/>
        </patternFill>
      </fill>
      <border/>
    </dxf>
    <dxf>
      <font>
        <b/>
        <color rgb="FF38761D"/>
      </font>
      <fill>
        <patternFill patternType="solid">
          <fgColor rgb="FFD8EDDA"/>
          <bgColor rgb="FFD8EDDA"/>
        </patternFill>
      </fill>
      <border/>
    </dxf>
    <dxf>
      <font>
        <b/>
        <color rgb="FF990000"/>
      </font>
      <fill>
        <patternFill patternType="solid">
          <fgColor rgb="FFF3CCCC"/>
          <bgColor rgb="FFF3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1F3864"/>
                </a:solidFill>
                <a:latin typeface="Calibri"/>
              </a:defRPr>
            </a:pPr>
            <a:r>
              <a:rPr b="1" sz="1600">
                <a:solidFill>
                  <a:srgbClr val="1F3864"/>
                </a:solidFill>
                <a:latin typeface="Calibri"/>
              </a:rPr>
              <a:t>Illustrative Fully Diluted Ownership — Post-SAFE Scenario</a:t>
            </a:r>
          </a:p>
        </c:rich>
      </c:tx>
      <c:overlay val="0"/>
    </c:title>
    <c:plotArea>
      <c:layout/>
      <c:doughnutChart>
        <c:varyColors val="1"/>
        <c:ser>
          <c:idx val="0"/>
          <c:order val="0"/>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Lbls>
            <c:showLegendKey val="0"/>
            <c:showVal val="0"/>
            <c:showCatName val="0"/>
            <c:showSerName val="0"/>
            <c:showPercent val="0"/>
            <c:showBubbleSize val="0"/>
            <c:showLeaderLines val="1"/>
          </c:dLbls>
          <c:cat>
            <c:strRef>
              <c:f>'Cap Table &amp; Equity Plan'!$A$44:$A$47</c:f>
            </c:strRef>
          </c:cat>
          <c:val>
            <c:numRef>
              <c:f>'Cap Table &amp; Equity Plan'!$C$44:$C$47</c:f>
              <c:numCache/>
            </c:numRef>
          </c:val>
        </c:ser>
        <c:dLbls>
          <c:showLegendKey val="0"/>
          <c:showVal val="0"/>
          <c:showCatName val="0"/>
          <c:showSerName val="0"/>
          <c:showPercent val="0"/>
          <c:showBubbleSize val="0"/>
        </c:dLbls>
        <c:holeSize val="42"/>
      </c:doughnutChart>
    </c:plotArea>
    <c:legend>
      <c:legendPos val="r"/>
      <c:overlay val="0"/>
      <c:txPr>
        <a:bodyPr/>
        <a:lstStyle/>
        <a:p>
          <a:pPr lvl="0">
            <a:defRPr b="0">
              <a:solidFill>
                <a:srgbClr val="1A1A1A"/>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1F3864"/>
                </a:solidFill>
                <a:latin typeface="Calibri"/>
              </a:defRPr>
            </a:pPr>
            <a:r>
              <a:rPr b="1" sz="1500">
                <a:solidFill>
                  <a:srgbClr val="1F3864"/>
                </a:solidFill>
                <a:latin typeface="Calibri"/>
              </a:rPr>
              <a:t>Scenario Cash Balance — M0 to M18</a:t>
            </a:r>
          </a:p>
        </c:rich>
      </c:tx>
      <c:overlay val="0"/>
    </c:title>
    <c:plotArea>
      <c:layout/>
      <c:lineChart>
        <c:varyColors val="0"/>
        <c:ser>
          <c:idx val="0"/>
          <c:order val="0"/>
          <c:spPr>
            <a:ln cmpd="sng">
              <a:solidFill>
                <a:srgbClr val="39D091"/>
              </a:solidFill>
            </a:ln>
          </c:spPr>
          <c:marker>
            <c:symbol val="circle"/>
            <c:size val="4"/>
            <c:spPr>
              <a:solidFill>
                <a:srgbClr val="39D091"/>
              </a:solidFill>
              <a:ln cmpd="sng">
                <a:solidFill>
                  <a:srgbClr val="39D091"/>
                </a:solidFill>
              </a:ln>
            </c:spPr>
          </c:marker>
          <c:cat>
            <c:strRef>
              <c:f>'Cash Flow &amp; Runway'!$B$51:$T$51</c:f>
            </c:strRef>
          </c:cat>
          <c:val>
            <c:numRef>
              <c:f>'Cash Flow &amp; Runway'!$B$73:$T$73</c:f>
              <c:numCache/>
            </c:numRef>
          </c:val>
          <c:smooth val="0"/>
        </c:ser>
        <c:axId val="15145363"/>
        <c:axId val="1174192367"/>
      </c:lineChart>
      <c:catAx>
        <c:axId val="15145363"/>
        <c:scaling>
          <c:orientation val="minMax"/>
        </c:scaling>
        <c:delete val="0"/>
        <c:axPos val="b"/>
        <c:title>
          <c:tx>
            <c:rich>
              <a:bodyPr/>
              <a:lstStyle/>
              <a:p>
                <a:pPr lvl="0">
                  <a:defRPr b="0">
                    <a:solidFill>
                      <a:srgbClr val="000000"/>
                    </a:solidFill>
                    <a:latin typeface="Calibri"/>
                  </a:defRPr>
                </a:pPr>
                <a:r>
                  <a:rPr b="0">
                    <a:solidFill>
                      <a:srgbClr val="000000"/>
                    </a:solidFill>
                    <a:latin typeface="Calibri"/>
                  </a:rPr>
                  <a:t>Elapsed month</a:t>
                </a:r>
              </a:p>
            </c:rich>
          </c:tx>
          <c:overlay val="0"/>
        </c:title>
        <c:numFmt formatCode="General" sourceLinked="1"/>
        <c:majorTickMark val="none"/>
        <c:minorTickMark val="none"/>
        <c:spPr>
          <a:ln>
            <a:noFill/>
          </a:ln>
        </c:spPr>
        <c:txPr>
          <a:bodyPr/>
          <a:lstStyle/>
          <a:p>
            <a:pPr lvl="0">
              <a:defRPr b="0">
                <a:solidFill>
                  <a:srgbClr val="000000"/>
                </a:solidFill>
                <a:latin typeface="Calibri"/>
              </a:defRPr>
            </a:pPr>
          </a:p>
        </c:txPr>
        <c:crossAx val="1174192367"/>
      </c:catAx>
      <c:valAx>
        <c:axId val="11741923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Calibri"/>
                  </a:defRPr>
                </a:pPr>
                <a:r>
                  <a:rPr b="0">
                    <a:solidFill>
                      <a:srgbClr val="000000"/>
                    </a:solidFill>
                    <a:latin typeface="Calibri"/>
                  </a:rPr>
                  <a:t>Ending cash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Calibri"/>
              </a:defRPr>
            </a:pPr>
          </a:p>
        </c:txPr>
        <c:crossAx val="15145363"/>
      </c:valAx>
    </c:plotArea>
    <c:plotVisOnly val="1"/>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85</xdr:row>
      <xdr:rowOff>76200</xdr:rowOff>
    </xdr:from>
    <xdr:ext cx="8572500" cy="4191000"/>
    <xdr:graphicFrame>
      <xdr:nvGraphicFramePr>
        <xdr:cNvPr id="1" name="Chart 1" title="Illustrative Fully Diluted Ownership — Post-SAFE Scenari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885825</xdr:colOff>
      <xdr:row>6</xdr:row>
      <xdr:rowOff>304800</xdr:rowOff>
    </xdr:from>
    <xdr:ext cx="13134975" cy="3867150"/>
    <xdr:graphicFrame>
      <xdr:nvGraphicFramePr>
        <xdr:cNvPr id="2" name="Chart 2" title="Scenario Cash Balance — M0 to M18"/>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outlineLevelRow="1"/>
  <cols>
    <col customWidth="1" min="1" max="1" width="33.43"/>
    <col customWidth="1" min="2" max="4" width="21.57"/>
    <col customWidth="1" min="5" max="5" width="25.86"/>
    <col customWidth="1" min="6" max="6" width="31.57"/>
    <col customWidth="1" min="7" max="7" width="48.57"/>
    <col customWidth="1" min="8" max="8" width="25.0"/>
  </cols>
  <sheetData>
    <row r="1" ht="25.5" customHeight="1">
      <c r="A1" s="1" t="s">
        <v>0</v>
      </c>
    </row>
    <row r="2" ht="21.0" customHeight="1">
      <c r="A2" s="3" t="s">
        <v>2</v>
      </c>
    </row>
    <row r="3">
      <c r="A3" s="6"/>
      <c r="B3" s="6"/>
      <c r="C3" s="6"/>
      <c r="D3" s="6"/>
      <c r="E3" s="6"/>
      <c r="F3" s="6"/>
      <c r="G3" s="6"/>
      <c r="H3" s="6"/>
    </row>
    <row r="4" ht="18.0" customHeight="1">
      <c r="A4" s="7" t="s">
        <v>4</v>
      </c>
    </row>
    <row r="5" ht="21.0" customHeight="1">
      <c r="A5" s="8" t="s">
        <v>5</v>
      </c>
      <c r="B5" s="9">
        <v>18.0</v>
      </c>
      <c r="C5" s="11" t="s">
        <v>7</v>
      </c>
      <c r="D5" s="13" t="s">
        <v>8</v>
      </c>
      <c r="E5" s="16" t="s">
        <v>9</v>
      </c>
      <c r="F5" s="6"/>
      <c r="G5" s="6"/>
      <c r="H5" s="6"/>
    </row>
    <row r="6" ht="23.25" customHeight="1">
      <c r="A6" s="20" t="s">
        <v>10</v>
      </c>
      <c r="B6" s="22" t="s">
        <v>11</v>
      </c>
      <c r="C6" s="25" t="s">
        <v>12</v>
      </c>
      <c r="D6" s="27"/>
      <c r="E6" s="28"/>
      <c r="F6" s="6"/>
      <c r="G6" s="6"/>
      <c r="H6" s="6"/>
    </row>
    <row r="7">
      <c r="A7" s="29" t="s">
        <v>13</v>
      </c>
      <c r="B7" s="30">
        <v>0.93</v>
      </c>
      <c r="C7" s="32" t="s">
        <v>15</v>
      </c>
      <c r="D7" s="33"/>
      <c r="E7" s="36"/>
      <c r="F7" s="6"/>
      <c r="G7" s="6"/>
      <c r="H7" s="6"/>
    </row>
    <row r="8" ht="20.25" customHeight="1">
      <c r="A8" s="20" t="s">
        <v>18</v>
      </c>
      <c r="B8" s="41">
        <f>SUM(C15:C17)</f>
        <v>750000</v>
      </c>
      <c r="C8" s="27"/>
      <c r="D8" s="27"/>
      <c r="E8" s="28"/>
      <c r="F8" s="6"/>
      <c r="G8" s="6"/>
      <c r="H8" s="6"/>
    </row>
    <row r="9" ht="21.75" customHeight="1">
      <c r="A9" s="29" t="s">
        <v>45</v>
      </c>
      <c r="B9" s="47">
        <f>B8*B7</f>
        <v>697500</v>
      </c>
      <c r="C9" s="33"/>
      <c r="D9" s="33"/>
      <c r="E9" s="36"/>
      <c r="F9" s="6"/>
      <c r="G9" s="6"/>
      <c r="H9" s="6"/>
    </row>
    <row r="10">
      <c r="A10" s="20" t="s">
        <v>56</v>
      </c>
      <c r="B10" s="51">
        <v>0.0</v>
      </c>
      <c r="C10" s="25" t="s">
        <v>57</v>
      </c>
      <c r="D10" s="27"/>
      <c r="E10" s="28"/>
      <c r="F10" s="6"/>
      <c r="G10" s="6"/>
      <c r="H10" s="6"/>
    </row>
    <row r="11">
      <c r="A11" s="53" t="s">
        <v>58</v>
      </c>
      <c r="B11" s="54" t="s">
        <v>59</v>
      </c>
      <c r="C11" s="56" t="s">
        <v>60</v>
      </c>
      <c r="D11" s="57"/>
      <c r="E11" s="58"/>
      <c r="F11" s="6"/>
      <c r="G11" s="6"/>
      <c r="H11" s="6"/>
    </row>
    <row r="12">
      <c r="A12" s="33"/>
      <c r="B12" s="33"/>
      <c r="C12" s="33"/>
      <c r="D12" s="33"/>
      <c r="E12" s="33"/>
      <c r="F12" s="6"/>
      <c r="G12" s="6"/>
      <c r="H12" s="6"/>
    </row>
    <row r="13" ht="18.0" customHeight="1">
      <c r="A13" s="7" t="s">
        <v>61</v>
      </c>
    </row>
    <row r="14">
      <c r="A14" s="62" t="s">
        <v>62</v>
      </c>
      <c r="B14" s="62" t="s">
        <v>63</v>
      </c>
      <c r="C14" s="62" t="s">
        <v>64</v>
      </c>
      <c r="D14" s="62" t="s">
        <v>65</v>
      </c>
      <c r="E14" s="62" t="s">
        <v>66</v>
      </c>
      <c r="F14" s="62" t="s">
        <v>67</v>
      </c>
      <c r="G14" s="65" t="s">
        <v>68</v>
      </c>
      <c r="H14" s="62" t="s">
        <v>70</v>
      </c>
    </row>
    <row r="15">
      <c r="A15" s="32" t="s">
        <v>71</v>
      </c>
      <c r="B15" s="32">
        <v>1.0</v>
      </c>
      <c r="C15" s="67">
        <v>200000.0</v>
      </c>
      <c r="D15" s="70">
        <f t="shared" ref="D15:D17" si="1">C15*$B$7</f>
        <v>186000</v>
      </c>
      <c r="E15" s="72">
        <v>6000000.0</v>
      </c>
      <c r="F15" s="73" t="s">
        <v>73</v>
      </c>
      <c r="G15" s="75" t="s">
        <v>74</v>
      </c>
      <c r="H15" s="73" t="s">
        <v>75</v>
      </c>
    </row>
    <row r="16">
      <c r="A16" s="77" t="s">
        <v>76</v>
      </c>
      <c r="B16" s="77">
        <v>2.0</v>
      </c>
      <c r="C16" s="80">
        <v>250000.0</v>
      </c>
      <c r="D16" s="82">
        <f t="shared" si="1"/>
        <v>232500</v>
      </c>
      <c r="E16" s="84">
        <v>7500000.0</v>
      </c>
      <c r="F16" s="85" t="s">
        <v>73</v>
      </c>
      <c r="G16" s="87" t="s">
        <v>74</v>
      </c>
      <c r="H16" s="85" t="s">
        <v>75</v>
      </c>
    </row>
    <row r="17">
      <c r="A17" s="32" t="s">
        <v>78</v>
      </c>
      <c r="B17" s="32">
        <v>3.0</v>
      </c>
      <c r="C17" s="67">
        <v>300000.0</v>
      </c>
      <c r="D17" s="70">
        <f t="shared" si="1"/>
        <v>279000</v>
      </c>
      <c r="E17" s="72">
        <v>9000000.0</v>
      </c>
      <c r="F17" s="73" t="s">
        <v>73</v>
      </c>
      <c r="G17" s="75" t="s">
        <v>74</v>
      </c>
      <c r="H17" s="73" t="s">
        <v>75</v>
      </c>
    </row>
    <row r="18">
      <c r="A18" s="90" t="s">
        <v>79</v>
      </c>
      <c r="B18" s="91"/>
      <c r="C18" s="95">
        <f t="shared" ref="C18:D18" si="2">SUM(C15:C17)</f>
        <v>750000</v>
      </c>
      <c r="D18" s="97">
        <f t="shared" si="2"/>
        <v>697500</v>
      </c>
      <c r="E18" s="91"/>
      <c r="F18" s="99" t="s">
        <v>82</v>
      </c>
      <c r="G18" s="91"/>
      <c r="H18" s="101" t="s">
        <v>83</v>
      </c>
    </row>
    <row r="19">
      <c r="A19" s="6"/>
      <c r="B19" s="6"/>
      <c r="C19" s="6"/>
      <c r="D19" s="6"/>
      <c r="E19" s="6"/>
      <c r="F19" s="6"/>
      <c r="G19" s="6"/>
      <c r="H19" s="6"/>
    </row>
    <row r="20" ht="18.0" customHeight="1">
      <c r="A20" s="7" t="s">
        <v>85</v>
      </c>
    </row>
    <row r="21">
      <c r="A21" s="105" t="s">
        <v>86</v>
      </c>
      <c r="B21" s="107" t="s">
        <v>89</v>
      </c>
      <c r="C21" s="107" t="s">
        <v>90</v>
      </c>
      <c r="D21" s="107" t="s">
        <v>91</v>
      </c>
      <c r="E21" s="107" t="s">
        <v>92</v>
      </c>
      <c r="F21" s="111"/>
      <c r="G21" s="111"/>
      <c r="H21" s="112"/>
    </row>
    <row r="22">
      <c r="A22" s="113" t="s">
        <v>94</v>
      </c>
      <c r="B22" s="75">
        <v>18.0</v>
      </c>
      <c r="C22" s="114" t="s">
        <v>8</v>
      </c>
      <c r="D22" s="114" t="s">
        <v>97</v>
      </c>
      <c r="E22" s="114" t="s">
        <v>98</v>
      </c>
      <c r="H22" s="117"/>
    </row>
    <row r="23">
      <c r="A23" s="119" t="s">
        <v>100</v>
      </c>
      <c r="B23" s="87" t="s">
        <v>102</v>
      </c>
      <c r="C23" s="121" t="s">
        <v>103</v>
      </c>
      <c r="D23" s="121" t="s">
        <v>105</v>
      </c>
      <c r="E23" s="121" t="s">
        <v>106</v>
      </c>
      <c r="H23" s="117"/>
    </row>
    <row r="24">
      <c r="A24" s="113" t="s">
        <v>108</v>
      </c>
      <c r="B24" s="75" t="s">
        <v>109</v>
      </c>
      <c r="C24" s="114" t="s">
        <v>110</v>
      </c>
      <c r="D24" s="114" t="s">
        <v>111</v>
      </c>
      <c r="E24" s="114" t="s">
        <v>113</v>
      </c>
      <c r="H24" s="117"/>
    </row>
    <row r="25">
      <c r="A25" s="119" t="s">
        <v>114</v>
      </c>
      <c r="B25" s="127">
        <v>5000.0</v>
      </c>
      <c r="C25" s="121" t="s">
        <v>20</v>
      </c>
      <c r="D25" s="121" t="s">
        <v>80</v>
      </c>
      <c r="E25" s="121" t="s">
        <v>118</v>
      </c>
      <c r="H25" s="117"/>
    </row>
    <row r="26">
      <c r="A26" s="113" t="s">
        <v>120</v>
      </c>
      <c r="B26" s="130">
        <v>4000.0</v>
      </c>
      <c r="C26" s="114" t="s">
        <v>123</v>
      </c>
      <c r="D26" s="114" t="s">
        <v>124</v>
      </c>
      <c r="E26" s="114" t="s">
        <v>125</v>
      </c>
      <c r="H26" s="117"/>
    </row>
    <row r="27">
      <c r="A27" s="119" t="s">
        <v>126</v>
      </c>
      <c r="B27" s="87" t="s">
        <v>127</v>
      </c>
      <c r="C27" s="121" t="s">
        <v>128</v>
      </c>
      <c r="D27" s="121" t="s">
        <v>129</v>
      </c>
      <c r="E27" s="121" t="s">
        <v>130</v>
      </c>
      <c r="H27" s="117"/>
    </row>
    <row r="28">
      <c r="A28" s="137" t="s">
        <v>132</v>
      </c>
      <c r="B28" s="139" t="s">
        <v>134</v>
      </c>
      <c r="C28" s="141" t="s">
        <v>40</v>
      </c>
      <c r="D28" s="141" t="s">
        <v>136</v>
      </c>
      <c r="E28" s="141" t="s">
        <v>137</v>
      </c>
      <c r="F28" s="143"/>
      <c r="G28" s="143"/>
      <c r="H28" s="146"/>
    </row>
    <row r="29">
      <c r="A29" s="6"/>
      <c r="B29" s="6"/>
      <c r="C29" s="6"/>
      <c r="D29" s="6"/>
      <c r="E29" s="6"/>
      <c r="F29" s="6"/>
      <c r="G29" s="6"/>
      <c r="H29" s="6"/>
    </row>
    <row r="30" ht="18.0" customHeight="1">
      <c r="A30" s="7" t="s">
        <v>140</v>
      </c>
    </row>
    <row r="31">
      <c r="A31" s="105" t="s">
        <v>142</v>
      </c>
      <c r="B31" s="107" t="s">
        <v>143</v>
      </c>
      <c r="C31" s="107" t="s">
        <v>144</v>
      </c>
      <c r="D31" s="107" t="s">
        <v>146</v>
      </c>
      <c r="E31" s="107" t="s">
        <v>147</v>
      </c>
      <c r="F31" s="107" t="s">
        <v>148</v>
      </c>
      <c r="G31" s="107" t="s">
        <v>70</v>
      </c>
      <c r="H31" s="153" t="s">
        <v>150</v>
      </c>
    </row>
    <row r="32">
      <c r="A32" s="155" t="s">
        <v>153</v>
      </c>
      <c r="B32" s="161">
        <f>'Hiring &amp; Compensation Plan'!W27</f>
        <v>207204.58</v>
      </c>
      <c r="C32" s="161">
        <f>'Hiring &amp; Compensation Plan'!X27</f>
        <v>337743.58</v>
      </c>
      <c r="D32" s="166">
        <f t="shared" ref="D32:D35" si="3">IF($C$36=0,0,C32/$C$36)</f>
        <v>0.5167786648</v>
      </c>
      <c r="E32" s="114" t="s">
        <v>176</v>
      </c>
      <c r="F32" s="114" t="s">
        <v>177</v>
      </c>
      <c r="G32" s="114" t="s">
        <v>178</v>
      </c>
      <c r="H32" s="168" t="s">
        <v>179</v>
      </c>
    </row>
    <row r="33">
      <c r="A33" s="171" t="s">
        <v>180</v>
      </c>
      <c r="B33" s="176">
        <f>'MVP &amp; lab hardware BOM'!V70</f>
        <v>61464.82</v>
      </c>
      <c r="C33" s="176">
        <f>'MVP &amp; lab hardware BOM'!W70</f>
        <v>81897</v>
      </c>
      <c r="D33" s="181">
        <f t="shared" si="3"/>
        <v>0.1253099239</v>
      </c>
      <c r="E33" s="121" t="s">
        <v>194</v>
      </c>
      <c r="F33" s="121" t="s">
        <v>196</v>
      </c>
      <c r="G33" s="121" t="s">
        <v>178</v>
      </c>
      <c r="H33" s="185" t="s">
        <v>197</v>
      </c>
    </row>
    <row r="34">
      <c r="A34" s="188" t="s">
        <v>199</v>
      </c>
      <c r="B34" s="161">
        <f>'HQ &amp; lab est.'!V31</f>
        <v>105365</v>
      </c>
      <c r="C34" s="161">
        <f>'HQ &amp; lab est.'!W31</f>
        <v>148835</v>
      </c>
      <c r="D34" s="166">
        <f t="shared" si="3"/>
        <v>0.2277312054</v>
      </c>
      <c r="E34" s="114" t="s">
        <v>204</v>
      </c>
      <c r="F34" s="114" t="s">
        <v>205</v>
      </c>
      <c r="G34" s="114" t="s">
        <v>178</v>
      </c>
      <c r="H34" s="168" t="s">
        <v>206</v>
      </c>
    </row>
    <row r="35">
      <c r="A35" s="192" t="s">
        <v>207</v>
      </c>
      <c r="B35" s="195">
        <f>'Other expenses'!V35</f>
        <v>55100</v>
      </c>
      <c r="C35" s="195">
        <f>'Other expenses'!W35</f>
        <v>85080</v>
      </c>
      <c r="D35" s="200">
        <f t="shared" si="3"/>
        <v>0.1301802059</v>
      </c>
      <c r="E35" s="202" t="s">
        <v>214</v>
      </c>
      <c r="F35" s="202" t="s">
        <v>216</v>
      </c>
      <c r="G35" s="202" t="s">
        <v>178</v>
      </c>
      <c r="H35" s="205" t="s">
        <v>219</v>
      </c>
    </row>
    <row r="36">
      <c r="A36" s="206" t="s">
        <v>223</v>
      </c>
      <c r="B36" s="208">
        <f t="shared" ref="B36:C36" si="4">SUM(B32:B35)</f>
        <v>429134.4</v>
      </c>
      <c r="C36" s="208">
        <f t="shared" si="4"/>
        <v>653555.58</v>
      </c>
      <c r="D36" s="209">
        <v>1.0</v>
      </c>
      <c r="E36" s="210"/>
      <c r="F36" s="210"/>
      <c r="G36" s="214" t="s">
        <v>229</v>
      </c>
      <c r="H36" s="210"/>
    </row>
    <row r="37">
      <c r="A37" s="217" t="s">
        <v>230</v>
      </c>
      <c r="B37" s="219"/>
      <c r="C37" s="219">
        <f>$B$9</f>
        <v>697500</v>
      </c>
      <c r="D37" s="220"/>
      <c r="E37" s="6"/>
      <c r="F37" s="6"/>
      <c r="G37" s="6"/>
      <c r="H37" s="6"/>
    </row>
    <row r="38">
      <c r="A38" s="223" t="s">
        <v>236</v>
      </c>
      <c r="B38" s="225"/>
      <c r="C38" s="225">
        <f>C37-C36</f>
        <v>43944.42</v>
      </c>
      <c r="D38" s="232">
        <f>IF(C37=0,0,C38/C37)</f>
        <v>0.06300275269</v>
      </c>
      <c r="E38" s="6"/>
      <c r="F38" s="6"/>
      <c r="G38" s="6"/>
      <c r="H38" s="6"/>
    </row>
    <row r="39">
      <c r="A39" s="235" t="s">
        <v>247</v>
      </c>
      <c r="B39" s="237"/>
      <c r="C39" s="237">
        <f>C36/$B$5</f>
        <v>36308.64333</v>
      </c>
      <c r="D39" s="241"/>
      <c r="E39" s="6"/>
      <c r="F39" s="6"/>
      <c r="G39" s="6"/>
      <c r="H39" s="6"/>
    </row>
    <row r="40">
      <c r="A40" s="6"/>
      <c r="B40" s="6"/>
      <c r="C40" s="6"/>
      <c r="D40" s="6"/>
      <c r="E40" s="6"/>
      <c r="F40" s="6"/>
      <c r="G40" s="6"/>
      <c r="H40" s="6"/>
    </row>
    <row r="41" ht="18.0" customHeight="1">
      <c r="A41" s="7" t="s">
        <v>254</v>
      </c>
    </row>
    <row r="42">
      <c r="A42" s="105" t="s">
        <v>256</v>
      </c>
      <c r="B42" s="107" t="s">
        <v>257</v>
      </c>
      <c r="C42" s="107" t="s">
        <v>258</v>
      </c>
      <c r="D42" s="107" t="s">
        <v>259</v>
      </c>
      <c r="E42" s="246" t="s">
        <v>70</v>
      </c>
      <c r="F42" s="107" t="s">
        <v>150</v>
      </c>
      <c r="G42" s="111"/>
      <c r="H42" s="112"/>
    </row>
    <row r="43">
      <c r="A43" s="113" t="s">
        <v>261</v>
      </c>
      <c r="B43" s="249">
        <v>750000.0</v>
      </c>
      <c r="C43" s="252">
        <f>$B$8</f>
        <v>750000</v>
      </c>
      <c r="D43" s="252">
        <f t="shared" ref="D43:D46" si="5">C43-B43</f>
        <v>0</v>
      </c>
      <c r="E43" s="33" t="str">
        <f t="shared" ref="E43:E44" si="6">IF(ABS(D43)&lt;=1,"PASS","REVIEW")</f>
        <v>PASS</v>
      </c>
      <c r="F43" s="114" t="s">
        <v>270</v>
      </c>
      <c r="H43" s="117"/>
    </row>
    <row r="44">
      <c r="A44" s="119" t="s">
        <v>275</v>
      </c>
      <c r="B44" s="261">
        <v>697500.0</v>
      </c>
      <c r="C44" s="263">
        <f>$B$9</f>
        <v>697500</v>
      </c>
      <c r="D44" s="263">
        <f t="shared" si="5"/>
        <v>0</v>
      </c>
      <c r="E44" s="33" t="str">
        <f t="shared" si="6"/>
        <v>PASS</v>
      </c>
      <c r="F44" s="114" t="s">
        <v>279</v>
      </c>
      <c r="H44" s="117"/>
    </row>
    <row r="45">
      <c r="A45" s="113" t="s">
        <v>280</v>
      </c>
      <c r="B45" s="268">
        <v>3.0</v>
      </c>
      <c r="C45" s="274">
        <f>COUNTA(A15:A17)</f>
        <v>3</v>
      </c>
      <c r="D45" s="274">
        <f t="shared" si="5"/>
        <v>0</v>
      </c>
      <c r="E45" s="33" t="str">
        <f>IF(D45=0,"PASS","REVIEW")</f>
        <v>PASS</v>
      </c>
      <c r="F45" s="114" t="s">
        <v>285</v>
      </c>
      <c r="H45" s="117"/>
    </row>
    <row r="46">
      <c r="A46" s="119" t="s">
        <v>286</v>
      </c>
      <c r="B46" s="261">
        <v>0.0</v>
      </c>
      <c r="C46" s="263">
        <f>C37-C36</f>
        <v>43944.42</v>
      </c>
      <c r="D46" s="263">
        <f t="shared" si="5"/>
        <v>43944.42</v>
      </c>
      <c r="E46" s="33" t="str">
        <f>IF(C46&gt;=0,"PASS","REVIEW")</f>
        <v>PASS</v>
      </c>
      <c r="F46" s="114" t="s">
        <v>287</v>
      </c>
      <c r="H46" s="117"/>
    </row>
    <row r="47">
      <c r="A47" s="235" t="s">
        <v>288</v>
      </c>
      <c r="B47" s="279"/>
      <c r="C47" s="279"/>
      <c r="D47" s="279"/>
      <c r="E47" s="287" t="str">
        <f>IF(COUNTIF(E43:E46,"PASS")=4,"PASS","REVIEW")</f>
        <v>PASS</v>
      </c>
      <c r="F47" s="290" t="s">
        <v>294</v>
      </c>
      <c r="G47" s="143"/>
      <c r="H47" s="146"/>
    </row>
    <row r="48">
      <c r="A48" s="6"/>
      <c r="B48" s="6"/>
      <c r="C48" s="6"/>
      <c r="D48" s="6"/>
      <c r="E48" s="6"/>
      <c r="F48" s="6"/>
      <c r="G48" s="6"/>
      <c r="H48" s="6"/>
    </row>
    <row r="49" ht="18.0" customHeight="1">
      <c r="A49" s="7" t="s">
        <v>296</v>
      </c>
    </row>
    <row r="50">
      <c r="A50" s="295" t="s">
        <v>297</v>
      </c>
      <c r="B50" s="298" t="s">
        <v>299</v>
      </c>
      <c r="C50" s="301" t="s">
        <v>300</v>
      </c>
      <c r="D50" s="298" t="s">
        <v>301</v>
      </c>
      <c r="E50" s="304" t="s">
        <v>302</v>
      </c>
      <c r="F50" s="298" t="s">
        <v>303</v>
      </c>
      <c r="G50" s="307" t="s">
        <v>304</v>
      </c>
      <c r="H50" s="298" t="s">
        <v>306</v>
      </c>
    </row>
    <row r="51">
      <c r="A51" s="308" t="s">
        <v>308</v>
      </c>
      <c r="B51" s="309" t="s">
        <v>309</v>
      </c>
      <c r="C51" s="308" t="s">
        <v>310</v>
      </c>
      <c r="D51" s="312" t="s">
        <v>311</v>
      </c>
      <c r="E51" s="308" t="s">
        <v>312</v>
      </c>
      <c r="F51" s="309" t="s">
        <v>313</v>
      </c>
      <c r="G51" s="308" t="s">
        <v>314</v>
      </c>
      <c r="H51" s="309" t="s">
        <v>315</v>
      </c>
    </row>
  </sheetData>
  <mergeCells count="22">
    <mergeCell ref="A1:H1"/>
    <mergeCell ref="A2:H2"/>
    <mergeCell ref="A4:H4"/>
    <mergeCell ref="A13:H13"/>
    <mergeCell ref="A20:H20"/>
    <mergeCell ref="E21:H21"/>
    <mergeCell ref="E22:H22"/>
    <mergeCell ref="A41:H41"/>
    <mergeCell ref="F42:H42"/>
    <mergeCell ref="F43:H43"/>
    <mergeCell ref="F44:H44"/>
    <mergeCell ref="F45:H45"/>
    <mergeCell ref="F46:H46"/>
    <mergeCell ref="F47:H47"/>
    <mergeCell ref="A49:H49"/>
    <mergeCell ref="E23:H23"/>
    <mergeCell ref="E24:H24"/>
    <mergeCell ref="E25:H25"/>
    <mergeCell ref="E26:H26"/>
    <mergeCell ref="E27:H27"/>
    <mergeCell ref="E28:H28"/>
    <mergeCell ref="A30:H30"/>
  </mergeCells>
  <conditionalFormatting sqref="E43:E47">
    <cfRule type="cellIs" dxfId="0" priority="1" stopIfTrue="1" operator="equal">
      <formula>"PASS"</formula>
    </cfRule>
  </conditionalFormatting>
  <conditionalFormatting sqref="E43:E47">
    <cfRule type="cellIs" dxfId="1" priority="2" stopIfTrue="1" operator="equal">
      <formula>"REVIEW"</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outlinePr summaryBelow="0" summaryRight="0"/>
  </sheetPr>
  <sheetViews>
    <sheetView showGridLines="0" workbookViewId="0">
      <pane ySplit="2.0" topLeftCell="A3" activePane="bottomLeft" state="frozen"/>
      <selection activeCell="B4" sqref="B4" pane="bottomLeft"/>
    </sheetView>
  </sheetViews>
  <sheetFormatPr customHeight="1" defaultColWidth="14.43" defaultRowHeight="15.75" outlineLevelRow="1"/>
  <cols>
    <col customWidth="1" min="1" max="1" width="37.29"/>
    <col customWidth="1" min="2" max="2" width="27.29"/>
    <col customWidth="1" min="3" max="3" width="24.43"/>
    <col customWidth="1" min="4" max="4" width="29.43"/>
    <col customWidth="1" min="5" max="5" width="33.57"/>
    <col customWidth="1" min="6" max="6" width="33.0"/>
    <col customWidth="1" min="7" max="7" width="58.71"/>
    <col customWidth="1" min="8" max="8" width="3.71"/>
  </cols>
  <sheetData>
    <row r="1" ht="24.0" customHeight="1">
      <c r="A1" s="98" t="s">
        <v>81</v>
      </c>
    </row>
    <row r="2" ht="18.0" customHeight="1">
      <c r="A2" s="103" t="s">
        <v>84</v>
      </c>
    </row>
    <row r="3" ht="46.5" customHeight="1">
      <c r="A3" s="106" t="s">
        <v>87</v>
      </c>
    </row>
    <row r="4">
      <c r="A4" s="109"/>
      <c r="B4" s="109"/>
      <c r="C4" s="109"/>
      <c r="D4" s="109"/>
      <c r="E4" s="109"/>
      <c r="F4" s="109"/>
      <c r="G4" s="109"/>
      <c r="H4" s="109"/>
    </row>
    <row r="5">
      <c r="A5" s="116" t="s">
        <v>95</v>
      </c>
    </row>
    <row r="6">
      <c r="A6" s="120" t="s">
        <v>19</v>
      </c>
      <c r="B6" s="123" t="s">
        <v>89</v>
      </c>
      <c r="C6" s="125" t="s">
        <v>112</v>
      </c>
      <c r="D6" s="123" t="s">
        <v>115</v>
      </c>
      <c r="E6" s="128" t="s">
        <v>117</v>
      </c>
      <c r="F6" s="125" t="s">
        <v>119</v>
      </c>
      <c r="G6" s="109"/>
      <c r="H6" s="109"/>
    </row>
    <row r="7">
      <c r="A7" s="132" t="s">
        <v>122</v>
      </c>
      <c r="B7" s="134">
        <v>1.0E7</v>
      </c>
      <c r="C7" s="136" t="s">
        <v>131</v>
      </c>
      <c r="D7" s="138" t="s">
        <v>133</v>
      </c>
      <c r="E7" s="142" t="s">
        <v>135</v>
      </c>
      <c r="F7" s="136" t="s">
        <v>138</v>
      </c>
      <c r="G7" s="109"/>
      <c r="H7" s="109"/>
    </row>
    <row r="8">
      <c r="A8" s="144" t="s">
        <v>139</v>
      </c>
      <c r="B8" s="147">
        <v>9000000.0</v>
      </c>
      <c r="C8" s="148" t="s">
        <v>131</v>
      </c>
      <c r="D8" s="150" t="s">
        <v>141</v>
      </c>
      <c r="E8" s="152" t="s">
        <v>145</v>
      </c>
      <c r="F8" s="148" t="s">
        <v>149</v>
      </c>
      <c r="G8" s="154"/>
      <c r="H8" s="109"/>
    </row>
    <row r="9">
      <c r="A9" s="132" t="s">
        <v>154</v>
      </c>
      <c r="B9" s="138" t="s">
        <v>155</v>
      </c>
      <c r="C9" s="157">
        <v>0.9</v>
      </c>
      <c r="D9" s="138" t="s">
        <v>157</v>
      </c>
      <c r="E9" s="142" t="s">
        <v>158</v>
      </c>
      <c r="F9" s="136" t="s">
        <v>159</v>
      </c>
      <c r="G9" s="159"/>
      <c r="H9" s="109"/>
    </row>
    <row r="10">
      <c r="A10" s="144" t="s">
        <v>161</v>
      </c>
      <c r="B10" s="162">
        <v>0.9</v>
      </c>
      <c r="C10" s="148" t="s">
        <v>163</v>
      </c>
      <c r="D10" s="150" t="s">
        <v>164</v>
      </c>
      <c r="E10" s="152" t="s">
        <v>165</v>
      </c>
      <c r="F10" s="148" t="s">
        <v>166</v>
      </c>
      <c r="G10" s="154"/>
      <c r="H10" s="109"/>
    </row>
    <row r="11">
      <c r="A11" s="132" t="s">
        <v>167</v>
      </c>
      <c r="B11" s="134">
        <v>9000000.0</v>
      </c>
      <c r="C11" s="136" t="s">
        <v>131</v>
      </c>
      <c r="D11" s="138" t="s">
        <v>168</v>
      </c>
      <c r="E11" s="142" t="s">
        <v>169</v>
      </c>
      <c r="F11" s="136" t="s">
        <v>170</v>
      </c>
      <c r="G11" s="154"/>
      <c r="H11" s="109"/>
    </row>
    <row r="12">
      <c r="A12" s="144" t="s">
        <v>171</v>
      </c>
      <c r="B12" s="170">
        <f>DATE(2026,2,1)</f>
        <v>46054</v>
      </c>
      <c r="C12" s="148" t="s">
        <v>181</v>
      </c>
      <c r="D12" s="150" t="s">
        <v>182</v>
      </c>
      <c r="E12" s="152" t="s">
        <v>183</v>
      </c>
      <c r="F12" s="148" t="s">
        <v>170</v>
      </c>
      <c r="G12" s="174"/>
      <c r="H12" s="109"/>
    </row>
    <row r="13">
      <c r="A13" s="132" t="s">
        <v>184</v>
      </c>
      <c r="B13" s="138" t="s">
        <v>185</v>
      </c>
      <c r="C13" s="136" t="s">
        <v>186</v>
      </c>
      <c r="D13" s="138" t="s">
        <v>182</v>
      </c>
      <c r="E13" s="142" t="s">
        <v>187</v>
      </c>
      <c r="F13" s="136" t="s">
        <v>170</v>
      </c>
      <c r="G13" s="109"/>
      <c r="H13" s="109"/>
    </row>
    <row r="14" ht="28.5" customHeight="1">
      <c r="A14" s="178" t="s">
        <v>190</v>
      </c>
      <c r="B14" s="180">
        <v>1.0E7</v>
      </c>
      <c r="C14" s="183" t="s">
        <v>193</v>
      </c>
      <c r="D14" s="187" t="s">
        <v>198</v>
      </c>
      <c r="E14" s="189" t="s">
        <v>200</v>
      </c>
      <c r="F14" s="183" t="s">
        <v>201</v>
      </c>
      <c r="G14" s="109"/>
      <c r="H14" s="109"/>
    </row>
    <row r="15" ht="28.5" customHeight="1">
      <c r="A15" s="190" t="s">
        <v>202</v>
      </c>
      <c r="B15" s="196" t="s">
        <v>203</v>
      </c>
      <c r="C15" s="199">
        <v>1.0</v>
      </c>
      <c r="D15" s="196" t="s">
        <v>213</v>
      </c>
      <c r="E15" s="203" t="s">
        <v>215</v>
      </c>
      <c r="F15" s="204" t="s">
        <v>217</v>
      </c>
      <c r="G15" s="109"/>
      <c r="H15" s="109"/>
    </row>
    <row r="16">
      <c r="A16" s="116" t="s">
        <v>224</v>
      </c>
    </row>
    <row r="17">
      <c r="A17" s="207" t="s">
        <v>67</v>
      </c>
      <c r="B17" s="128" t="s">
        <v>225</v>
      </c>
      <c r="C17" s="128" t="s">
        <v>226</v>
      </c>
      <c r="D17" s="128" t="s">
        <v>227</v>
      </c>
      <c r="E17" s="128" t="s">
        <v>70</v>
      </c>
      <c r="F17" s="125" t="s">
        <v>150</v>
      </c>
      <c r="G17" s="109"/>
      <c r="H17" s="109"/>
    </row>
    <row r="18">
      <c r="A18" s="212" t="s">
        <v>228</v>
      </c>
      <c r="B18" s="215">
        <v>1000000.0</v>
      </c>
      <c r="C18" s="222">
        <f>B18/$B$7</f>
        <v>0.1</v>
      </c>
      <c r="D18" s="226" t="s">
        <v>237</v>
      </c>
      <c r="E18" s="226" t="s">
        <v>238</v>
      </c>
      <c r="F18" s="229" t="s">
        <v>239</v>
      </c>
      <c r="G18" s="109"/>
      <c r="H18" s="109"/>
    </row>
    <row r="19">
      <c r="A19" s="230" t="s">
        <v>244</v>
      </c>
      <c r="B19" s="234" t="s">
        <v>245</v>
      </c>
      <c r="C19" s="240">
        <f>$D$39</f>
        <v>0.1</v>
      </c>
      <c r="D19" s="243" t="s">
        <v>237</v>
      </c>
      <c r="E19" s="243" t="s">
        <v>253</v>
      </c>
      <c r="F19" s="244" t="s">
        <v>255</v>
      </c>
      <c r="G19" s="109"/>
      <c r="H19" s="109"/>
    </row>
    <row r="20" ht="28.5" customHeight="1">
      <c r="A20" s="247" t="s">
        <v>260</v>
      </c>
    </row>
    <row r="21">
      <c r="A21" s="109"/>
      <c r="B21" s="109"/>
      <c r="C21" s="109"/>
      <c r="D21" s="109"/>
      <c r="E21" s="109"/>
      <c r="F21" s="109"/>
      <c r="G21" s="109"/>
      <c r="H21" s="109"/>
    </row>
    <row r="22">
      <c r="A22" s="116" t="s">
        <v>266</v>
      </c>
    </row>
    <row r="23">
      <c r="A23" s="255" t="s">
        <v>267</v>
      </c>
      <c r="B23" s="258" t="s">
        <v>268</v>
      </c>
      <c r="C23" s="258" t="s">
        <v>269</v>
      </c>
      <c r="D23" s="258" t="s">
        <v>271</v>
      </c>
      <c r="E23" s="258" t="s">
        <v>273</v>
      </c>
      <c r="F23" s="258" t="s">
        <v>115</v>
      </c>
      <c r="G23" s="262" t="s">
        <v>277</v>
      </c>
      <c r="H23" s="264"/>
    </row>
    <row r="24" ht="28.5" customHeight="1">
      <c r="A24" s="266" t="s">
        <v>44</v>
      </c>
      <c r="B24" s="269" t="s">
        <v>46</v>
      </c>
      <c r="C24" s="272">
        <v>4000000.0</v>
      </c>
      <c r="D24" s="276">
        <f t="shared" ref="D24:D29" si="1">E24/SUM($E$24:$E$29)</f>
        <v>0.4444444444</v>
      </c>
      <c r="E24" s="278">
        <v>0.4</v>
      </c>
      <c r="F24" s="269" t="s">
        <v>289</v>
      </c>
      <c r="G24" s="282" t="s">
        <v>290</v>
      </c>
      <c r="H24" s="284"/>
    </row>
    <row r="25" ht="34.5" customHeight="1">
      <c r="A25" s="289" t="s">
        <v>160</v>
      </c>
      <c r="B25" s="293" t="s">
        <v>295</v>
      </c>
      <c r="C25" s="296">
        <v>1500000.0</v>
      </c>
      <c r="D25" s="302">
        <f t="shared" si="1"/>
        <v>0.1666666667</v>
      </c>
      <c r="E25" s="306">
        <v>0.15</v>
      </c>
      <c r="F25" s="293" t="s">
        <v>305</v>
      </c>
      <c r="G25" s="311" t="s">
        <v>307</v>
      </c>
      <c r="H25" s="284"/>
    </row>
    <row r="26" ht="34.5" customHeight="1">
      <c r="A26" s="315" t="s">
        <v>246</v>
      </c>
      <c r="B26" s="317" t="s">
        <v>317</v>
      </c>
      <c r="C26" s="319">
        <v>500000.0</v>
      </c>
      <c r="D26" s="322">
        <f t="shared" si="1"/>
        <v>0.05555555556</v>
      </c>
      <c r="E26" s="323">
        <v>0.05</v>
      </c>
      <c r="F26" s="317" t="s">
        <v>305</v>
      </c>
      <c r="G26" s="326" t="s">
        <v>307</v>
      </c>
      <c r="H26" s="284"/>
    </row>
    <row r="27" ht="34.5" customHeight="1">
      <c r="A27" s="329" t="s">
        <v>316</v>
      </c>
      <c r="B27" s="331" t="s">
        <v>319</v>
      </c>
      <c r="C27" s="334">
        <v>1000000.0</v>
      </c>
      <c r="D27" s="339">
        <f t="shared" si="1"/>
        <v>0.1111111111</v>
      </c>
      <c r="E27" s="342">
        <v>0.1</v>
      </c>
      <c r="F27" s="331" t="s">
        <v>305</v>
      </c>
      <c r="G27" s="344" t="s">
        <v>307</v>
      </c>
      <c r="H27" s="284"/>
    </row>
    <row r="28" ht="34.5" customHeight="1">
      <c r="A28" s="346" t="s">
        <v>321</v>
      </c>
      <c r="B28" s="348" t="s">
        <v>295</v>
      </c>
      <c r="C28" s="352">
        <v>1000000.0</v>
      </c>
      <c r="D28" s="354">
        <f t="shared" si="1"/>
        <v>0.1111111111</v>
      </c>
      <c r="E28" s="357">
        <v>0.1</v>
      </c>
      <c r="F28" s="348" t="s">
        <v>305</v>
      </c>
      <c r="G28" s="359" t="s">
        <v>324</v>
      </c>
      <c r="H28" s="284"/>
    </row>
    <row r="29" ht="31.5" customHeight="1">
      <c r="A29" s="360" t="s">
        <v>325</v>
      </c>
      <c r="B29" s="362" t="s">
        <v>326</v>
      </c>
      <c r="C29" s="364">
        <v>1000000.0</v>
      </c>
      <c r="D29" s="367">
        <f t="shared" si="1"/>
        <v>0.1111111111</v>
      </c>
      <c r="E29" s="370">
        <v>0.1</v>
      </c>
      <c r="F29" s="373" t="s">
        <v>238</v>
      </c>
      <c r="G29" s="378" t="s">
        <v>331</v>
      </c>
      <c r="H29" s="284"/>
    </row>
    <row r="30" ht="28.5" customHeight="1">
      <c r="A30" s="380" t="s">
        <v>332</v>
      </c>
      <c r="B30" s="385" t="s">
        <v>333</v>
      </c>
      <c r="C30" s="397">
        <f t="shared" ref="C30:E30" si="2">SUM(C25:C28)</f>
        <v>4000000</v>
      </c>
      <c r="D30" s="401">
        <f t="shared" si="2"/>
        <v>0.4444444444</v>
      </c>
      <c r="E30" s="401">
        <f t="shared" si="2"/>
        <v>0.4</v>
      </c>
      <c r="F30" s="404" t="s">
        <v>305</v>
      </c>
      <c r="G30" s="385" t="s">
        <v>340</v>
      </c>
      <c r="H30" s="409"/>
    </row>
    <row r="31" ht="33.0" customHeight="1">
      <c r="A31" s="414" t="s">
        <v>348</v>
      </c>
      <c r="B31" s="418" t="s">
        <v>351</v>
      </c>
      <c r="C31" s="426">
        <f t="shared" ref="C31:E31" si="3">SUM(C24:C29)</f>
        <v>9000000</v>
      </c>
      <c r="D31" s="431">
        <f t="shared" si="3"/>
        <v>1</v>
      </c>
      <c r="E31" s="431">
        <f t="shared" si="3"/>
        <v>0.9</v>
      </c>
      <c r="F31" s="432" t="s">
        <v>358</v>
      </c>
      <c r="G31" s="418" t="s">
        <v>362</v>
      </c>
      <c r="H31" s="409"/>
    </row>
    <row r="32" ht="31.5" customHeight="1">
      <c r="A32" s="247" t="s">
        <v>364</v>
      </c>
    </row>
    <row r="33">
      <c r="A33" s="109"/>
      <c r="B33" s="109"/>
      <c r="C33" s="109"/>
      <c r="D33" s="109"/>
      <c r="E33" s="109"/>
      <c r="F33" s="109"/>
      <c r="G33" s="109"/>
      <c r="H33" s="109"/>
    </row>
    <row r="34">
      <c r="A34" s="116" t="s">
        <v>367</v>
      </c>
    </row>
    <row r="35">
      <c r="A35" s="255" t="s">
        <v>62</v>
      </c>
      <c r="B35" s="255" t="s">
        <v>369</v>
      </c>
      <c r="C35" s="255" t="s">
        <v>370</v>
      </c>
      <c r="D35" s="255" t="s">
        <v>371</v>
      </c>
      <c r="E35" s="255" t="s">
        <v>70</v>
      </c>
      <c r="F35" s="255" t="s">
        <v>372</v>
      </c>
      <c r="G35" s="109"/>
      <c r="H35" s="109"/>
    </row>
    <row r="36" ht="24.0" customHeight="1">
      <c r="A36" s="441" t="s">
        <v>71</v>
      </c>
      <c r="B36" s="451">
        <f>'Assumptions &amp; Funding'!C15</f>
        <v>200000</v>
      </c>
      <c r="C36" s="457">
        <f>'Assumptions &amp; Funding'!E15</f>
        <v>6000000</v>
      </c>
      <c r="D36" s="463">
        <f t="shared" ref="D36:D38" si="4">B36/C36</f>
        <v>0.03333333333</v>
      </c>
      <c r="E36" s="467" t="s">
        <v>377</v>
      </c>
      <c r="F36" s="467" t="s">
        <v>378</v>
      </c>
      <c r="G36" s="109"/>
      <c r="H36" s="109"/>
    </row>
    <row r="37" ht="24.0" customHeight="1">
      <c r="A37" s="441" t="s">
        <v>76</v>
      </c>
      <c r="B37" s="451">
        <f>'Assumptions &amp; Funding'!C16</f>
        <v>250000</v>
      </c>
      <c r="C37" s="457">
        <f>'Assumptions &amp; Funding'!E16</f>
        <v>7500000</v>
      </c>
      <c r="D37" s="463">
        <f t="shared" si="4"/>
        <v>0.03333333333</v>
      </c>
      <c r="E37" s="467" t="s">
        <v>377</v>
      </c>
      <c r="F37" s="467" t="s">
        <v>378</v>
      </c>
      <c r="G37" s="109"/>
      <c r="H37" s="109"/>
    </row>
    <row r="38" ht="24.0" customHeight="1">
      <c r="A38" s="441" t="s">
        <v>78</v>
      </c>
      <c r="B38" s="451">
        <f>'Assumptions &amp; Funding'!C17</f>
        <v>300000</v>
      </c>
      <c r="C38" s="457">
        <f>'Assumptions &amp; Funding'!E17</f>
        <v>9000000</v>
      </c>
      <c r="D38" s="463">
        <f t="shared" si="4"/>
        <v>0.03333333333</v>
      </c>
      <c r="E38" s="467" t="s">
        <v>377</v>
      </c>
      <c r="F38" s="467" t="s">
        <v>378</v>
      </c>
      <c r="G38" s="109"/>
      <c r="H38" s="109"/>
    </row>
    <row r="39" ht="28.5" customHeight="1">
      <c r="A39" s="480" t="s">
        <v>389</v>
      </c>
      <c r="B39" s="482">
        <f>SUM(B36:B38)</f>
        <v>750000</v>
      </c>
      <c r="C39" s="484"/>
      <c r="D39" s="486">
        <f>SUM(D36:D38)</f>
        <v>0.1</v>
      </c>
      <c r="E39" s="480" t="s">
        <v>405</v>
      </c>
      <c r="F39" s="480" t="s">
        <v>406</v>
      </c>
      <c r="G39" s="487"/>
      <c r="H39" s="487"/>
    </row>
    <row r="40" ht="28.5" customHeight="1">
      <c r="A40" s="247" t="s">
        <v>409</v>
      </c>
    </row>
    <row r="41">
      <c r="A41" s="109"/>
      <c r="B41" s="109"/>
      <c r="C41" s="109"/>
      <c r="D41" s="109"/>
      <c r="E41" s="109"/>
      <c r="F41" s="109"/>
      <c r="G41" s="109"/>
      <c r="H41" s="109"/>
    </row>
    <row r="42">
      <c r="A42" s="116" t="s">
        <v>415</v>
      </c>
    </row>
    <row r="43">
      <c r="A43" s="255" t="s">
        <v>417</v>
      </c>
      <c r="B43" s="255" t="s">
        <v>269</v>
      </c>
      <c r="C43" s="255" t="s">
        <v>421</v>
      </c>
      <c r="D43" s="255" t="s">
        <v>70</v>
      </c>
      <c r="E43" s="255" t="s">
        <v>150</v>
      </c>
      <c r="F43" s="109"/>
      <c r="G43" s="109"/>
      <c r="H43" s="109"/>
    </row>
    <row r="44">
      <c r="A44" s="490" t="s">
        <v>425</v>
      </c>
      <c r="B44" s="492">
        <v>4000000.0</v>
      </c>
      <c r="C44" s="494">
        <f t="shared" ref="C44:C47" si="5">B44/$B$48</f>
        <v>0.4</v>
      </c>
      <c r="D44" s="496" t="s">
        <v>436</v>
      </c>
      <c r="E44" s="498" t="s">
        <v>438</v>
      </c>
      <c r="F44" s="109"/>
      <c r="G44" s="109"/>
      <c r="H44" s="109"/>
    </row>
    <row r="45">
      <c r="A45" s="502" t="s">
        <v>443</v>
      </c>
      <c r="B45" s="492">
        <v>4000000.0</v>
      </c>
      <c r="C45" s="494">
        <f t="shared" si="5"/>
        <v>0.4</v>
      </c>
      <c r="D45" s="496" t="s">
        <v>305</v>
      </c>
      <c r="E45" s="498" t="s">
        <v>446</v>
      </c>
      <c r="F45" s="109"/>
      <c r="G45" s="109"/>
      <c r="H45" s="109"/>
    </row>
    <row r="46">
      <c r="A46" s="508" t="s">
        <v>325</v>
      </c>
      <c r="B46" s="492">
        <v>1000000.0</v>
      </c>
      <c r="C46" s="494">
        <f t="shared" si="5"/>
        <v>0.1</v>
      </c>
      <c r="D46" s="496" t="s">
        <v>238</v>
      </c>
      <c r="E46" s="498" t="s">
        <v>450</v>
      </c>
      <c r="F46" s="109"/>
      <c r="G46" s="109"/>
      <c r="H46" s="109"/>
    </row>
    <row r="47">
      <c r="A47" s="512" t="s">
        <v>454</v>
      </c>
      <c r="B47" s="492">
        <v>1000000.0</v>
      </c>
      <c r="C47" s="494">
        <f t="shared" si="5"/>
        <v>0.1</v>
      </c>
      <c r="D47" s="496" t="s">
        <v>377</v>
      </c>
      <c r="E47" s="498" t="s">
        <v>457</v>
      </c>
      <c r="F47" s="109"/>
      <c r="G47" s="109"/>
      <c r="H47" s="109"/>
    </row>
    <row r="48">
      <c r="A48" s="480" t="s">
        <v>459</v>
      </c>
      <c r="B48" s="523">
        <f t="shared" ref="B48:C48" si="6">SUM(B44:B47)</f>
        <v>10000000</v>
      </c>
      <c r="C48" s="486">
        <f t="shared" si="6"/>
        <v>1</v>
      </c>
      <c r="D48" s="527" t="s">
        <v>462</v>
      </c>
      <c r="E48" s="480" t="s">
        <v>463</v>
      </c>
      <c r="F48" s="487"/>
      <c r="G48" s="487"/>
      <c r="H48" s="487"/>
    </row>
    <row r="49" ht="28.5" customHeight="1">
      <c r="A49" s="247" t="s">
        <v>464</v>
      </c>
    </row>
    <row r="50">
      <c r="A50" s="109"/>
      <c r="B50" s="109"/>
      <c r="C50" s="109"/>
      <c r="D50" s="109"/>
      <c r="E50" s="109"/>
      <c r="F50" s="109"/>
      <c r="G50" s="109"/>
      <c r="H50" s="109"/>
    </row>
    <row r="51">
      <c r="A51" s="116" t="s">
        <v>466</v>
      </c>
    </row>
    <row r="52" ht="19.5" customHeight="1">
      <c r="A52" s="533" t="s">
        <v>467</v>
      </c>
    </row>
    <row r="53">
      <c r="A53" s="535" t="s">
        <v>19</v>
      </c>
      <c r="B53" s="537" t="s">
        <v>89</v>
      </c>
      <c r="C53" s="537" t="s">
        <v>70</v>
      </c>
      <c r="D53" s="540" t="s">
        <v>150</v>
      </c>
      <c r="E53" s="109"/>
      <c r="F53" s="109"/>
      <c r="G53" s="109"/>
      <c r="H53" s="109"/>
    </row>
    <row r="54">
      <c r="A54" s="544" t="s">
        <v>469</v>
      </c>
      <c r="B54" s="548">
        <v>9000000.0</v>
      </c>
      <c r="C54" s="550" t="s">
        <v>168</v>
      </c>
      <c r="D54" s="551" t="s">
        <v>169</v>
      </c>
      <c r="E54" s="109"/>
      <c r="F54" s="109"/>
      <c r="G54" s="109"/>
      <c r="H54" s="109"/>
    </row>
    <row r="55">
      <c r="A55" s="552" t="s">
        <v>470</v>
      </c>
      <c r="B55" s="558">
        <f>DATE(2026,2,1)</f>
        <v>46054</v>
      </c>
      <c r="C55" s="560" t="s">
        <v>182</v>
      </c>
      <c r="D55" s="562" t="s">
        <v>473</v>
      </c>
      <c r="E55" s="109"/>
      <c r="F55" s="109"/>
      <c r="G55" s="109"/>
      <c r="H55" s="109"/>
    </row>
    <row r="56">
      <c r="A56" s="544" t="s">
        <v>474</v>
      </c>
      <c r="B56" s="565">
        <v>48.0</v>
      </c>
      <c r="C56" s="550" t="s">
        <v>475</v>
      </c>
      <c r="D56" s="551" t="s">
        <v>476</v>
      </c>
      <c r="E56" s="109"/>
      <c r="F56" s="109"/>
      <c r="G56" s="109"/>
      <c r="H56" s="109"/>
    </row>
    <row r="57">
      <c r="A57" s="552" t="s">
        <v>477</v>
      </c>
      <c r="B57" s="567">
        <v>12.0</v>
      </c>
      <c r="C57" s="560" t="s">
        <v>475</v>
      </c>
      <c r="D57" s="562" t="s">
        <v>478</v>
      </c>
      <c r="E57" s="109"/>
      <c r="F57" s="109"/>
      <c r="G57" s="109"/>
      <c r="H57" s="109"/>
    </row>
    <row r="58">
      <c r="A58" s="544" t="s">
        <v>480</v>
      </c>
      <c r="B58" s="571">
        <v>0.25</v>
      </c>
      <c r="C58" s="550" t="s">
        <v>481</v>
      </c>
      <c r="D58" s="551" t="s">
        <v>482</v>
      </c>
      <c r="E58" s="109"/>
      <c r="F58" s="109"/>
      <c r="G58" s="109"/>
      <c r="H58" s="109"/>
    </row>
    <row r="59">
      <c r="A59" s="552" t="s">
        <v>483</v>
      </c>
      <c r="B59" s="576">
        <f>1/48</f>
        <v>0.02083333333</v>
      </c>
      <c r="C59" s="560" t="s">
        <v>485</v>
      </c>
      <c r="D59" s="562" t="s">
        <v>486</v>
      </c>
      <c r="E59" s="109"/>
      <c r="F59" s="109"/>
      <c r="G59" s="109"/>
      <c r="H59" s="109"/>
    </row>
    <row r="60">
      <c r="A60" s="579" t="s">
        <v>487</v>
      </c>
      <c r="B60" s="581" t="s">
        <v>488</v>
      </c>
      <c r="C60" s="583" t="s">
        <v>182</v>
      </c>
      <c r="D60" s="585" t="s">
        <v>489</v>
      </c>
      <c r="E60" s="109"/>
      <c r="F60" s="109"/>
      <c r="G60" s="109"/>
      <c r="H60" s="109"/>
    </row>
    <row r="61">
      <c r="A61" s="109"/>
      <c r="B61" s="109"/>
      <c r="C61" s="109"/>
      <c r="D61" s="109"/>
      <c r="E61" s="109"/>
      <c r="F61" s="109"/>
      <c r="G61" s="109"/>
      <c r="H61" s="109"/>
    </row>
    <row r="62" ht="19.5" customHeight="1">
      <c r="A62" s="533" t="s">
        <v>490</v>
      </c>
    </row>
    <row r="63">
      <c r="A63" s="258" t="s">
        <v>491</v>
      </c>
      <c r="B63" s="258" t="s">
        <v>492</v>
      </c>
      <c r="C63" s="258" t="s">
        <v>493</v>
      </c>
      <c r="D63" s="258" t="s">
        <v>70</v>
      </c>
      <c r="E63" s="258" t="s">
        <v>495</v>
      </c>
      <c r="F63" s="109"/>
      <c r="G63" s="109"/>
      <c r="H63" s="109"/>
    </row>
    <row r="64">
      <c r="A64" s="593" t="s">
        <v>496</v>
      </c>
      <c r="B64" s="596">
        <v>0.0</v>
      </c>
      <c r="C64" s="596">
        <v>0.0</v>
      </c>
      <c r="D64" s="593" t="s">
        <v>499</v>
      </c>
      <c r="E64" s="599" t="s">
        <v>500</v>
      </c>
      <c r="F64" s="109"/>
      <c r="G64" s="109"/>
      <c r="H64" s="109"/>
    </row>
    <row r="65">
      <c r="A65" s="269" t="s">
        <v>502</v>
      </c>
      <c r="B65" s="278">
        <v>0.05</v>
      </c>
      <c r="C65" s="276">
        <f t="shared" ref="C65:C70" si="7">C64+B65</f>
        <v>0.05</v>
      </c>
      <c r="D65" s="269" t="s">
        <v>499</v>
      </c>
      <c r="E65" s="602" t="s">
        <v>504</v>
      </c>
      <c r="F65" s="109"/>
      <c r="G65" s="109"/>
      <c r="H65" s="109"/>
    </row>
    <row r="66">
      <c r="A66" s="593" t="s">
        <v>505</v>
      </c>
      <c r="B66" s="596">
        <v>0.1</v>
      </c>
      <c r="C66" s="605">
        <f t="shared" si="7"/>
        <v>0.15</v>
      </c>
      <c r="D66" s="593" t="s">
        <v>499</v>
      </c>
      <c r="E66" s="599" t="s">
        <v>504</v>
      </c>
      <c r="F66" s="109"/>
      <c r="G66" s="109"/>
      <c r="H66" s="109"/>
    </row>
    <row r="67">
      <c r="A67" s="269" t="s">
        <v>509</v>
      </c>
      <c r="B67" s="278">
        <v>0.15</v>
      </c>
      <c r="C67" s="276">
        <f t="shared" si="7"/>
        <v>0.3</v>
      </c>
      <c r="D67" s="269" t="s">
        <v>499</v>
      </c>
      <c r="E67" s="602" t="s">
        <v>504</v>
      </c>
      <c r="F67" s="109"/>
      <c r="G67" s="109"/>
      <c r="H67" s="109"/>
    </row>
    <row r="68">
      <c r="A68" s="593" t="s">
        <v>510</v>
      </c>
      <c r="B68" s="596">
        <v>0.2</v>
      </c>
      <c r="C68" s="605">
        <f t="shared" si="7"/>
        <v>0.5</v>
      </c>
      <c r="D68" s="593" t="s">
        <v>499</v>
      </c>
      <c r="E68" s="599" t="s">
        <v>504</v>
      </c>
      <c r="F68" s="109"/>
      <c r="G68" s="109"/>
      <c r="H68" s="109"/>
    </row>
    <row r="69">
      <c r="A69" s="269" t="s">
        <v>511</v>
      </c>
      <c r="B69" s="278">
        <v>0.25</v>
      </c>
      <c r="C69" s="276">
        <f t="shared" si="7"/>
        <v>0.75</v>
      </c>
      <c r="D69" s="269" t="s">
        <v>499</v>
      </c>
      <c r="E69" s="602" t="s">
        <v>504</v>
      </c>
      <c r="F69" s="109"/>
      <c r="G69" s="109"/>
      <c r="H69" s="109"/>
    </row>
    <row r="70" ht="31.5" customHeight="1">
      <c r="A70" s="593" t="s">
        <v>513</v>
      </c>
      <c r="B70" s="596">
        <v>0.25</v>
      </c>
      <c r="C70" s="605">
        <f t="shared" si="7"/>
        <v>1</v>
      </c>
      <c r="D70" s="593" t="s">
        <v>499</v>
      </c>
      <c r="E70" s="610" t="s">
        <v>515</v>
      </c>
      <c r="F70" s="611"/>
      <c r="G70" s="612"/>
      <c r="H70" s="109"/>
    </row>
    <row r="71" ht="28.5" customHeight="1">
      <c r="A71" s="247" t="s">
        <v>517</v>
      </c>
    </row>
    <row r="72" ht="46.5" customHeight="1">
      <c r="A72" s="615" t="s">
        <v>518</v>
      </c>
    </row>
    <row r="73">
      <c r="A73" s="109"/>
      <c r="B73" s="109"/>
      <c r="C73" s="109"/>
      <c r="D73" s="109"/>
      <c r="E73" s="109"/>
      <c r="F73" s="109"/>
      <c r="G73" s="109"/>
      <c r="H73" s="109"/>
    </row>
    <row r="74">
      <c r="A74" s="116" t="s">
        <v>521</v>
      </c>
    </row>
    <row r="75">
      <c r="A75" s="207" t="s">
        <v>256</v>
      </c>
      <c r="B75" s="128" t="s">
        <v>257</v>
      </c>
      <c r="C75" s="128" t="s">
        <v>258</v>
      </c>
      <c r="D75" s="128" t="s">
        <v>259</v>
      </c>
      <c r="E75" s="128" t="s">
        <v>70</v>
      </c>
      <c r="F75" s="125" t="s">
        <v>150</v>
      </c>
      <c r="G75" s="109"/>
      <c r="H75" s="109"/>
    </row>
    <row r="76">
      <c r="A76" s="620" t="s">
        <v>522</v>
      </c>
      <c r="B76" s="622">
        <v>9000000.0</v>
      </c>
      <c r="C76" s="625">
        <f>$B$8</f>
        <v>9000000</v>
      </c>
      <c r="D76" s="625">
        <f t="shared" ref="D76:D81" si="8">C76-B76</f>
        <v>0</v>
      </c>
      <c r="E76" s="629" t="str">
        <f t="shared" ref="E76:E78" si="9">IF(ABS(D76)&lt;0.5,"PASS","REVIEW")</f>
        <v>PASS</v>
      </c>
      <c r="F76" s="631" t="s">
        <v>529</v>
      </c>
      <c r="G76" s="109"/>
      <c r="H76" s="109"/>
    </row>
    <row r="77">
      <c r="A77" s="633" t="s">
        <v>122</v>
      </c>
      <c r="B77" s="635">
        <v>1.0E7</v>
      </c>
      <c r="C77" s="637">
        <f>$B$7</f>
        <v>10000000</v>
      </c>
      <c r="D77" s="637">
        <f t="shared" si="8"/>
        <v>0</v>
      </c>
      <c r="E77" s="629" t="str">
        <f t="shared" si="9"/>
        <v>PASS</v>
      </c>
      <c r="F77" s="639" t="s">
        <v>534</v>
      </c>
      <c r="G77" s="109"/>
      <c r="H77" s="109"/>
    </row>
    <row r="78">
      <c r="A78" s="620" t="s">
        <v>535</v>
      </c>
      <c r="B78" s="622">
        <v>1.0E7</v>
      </c>
      <c r="C78" s="625">
        <f>$B$48</f>
        <v>10000000</v>
      </c>
      <c r="D78" s="625">
        <f t="shared" si="8"/>
        <v>0</v>
      </c>
      <c r="E78" s="629" t="str">
        <f t="shared" si="9"/>
        <v>PASS</v>
      </c>
      <c r="F78" s="631" t="s">
        <v>540</v>
      </c>
      <c r="G78" s="109"/>
      <c r="H78" s="109"/>
    </row>
    <row r="79">
      <c r="A79" s="633" t="s">
        <v>541</v>
      </c>
      <c r="B79" s="643">
        <v>1.0</v>
      </c>
      <c r="C79" s="646">
        <f>$D$31</f>
        <v>1</v>
      </c>
      <c r="D79" s="646">
        <f t="shared" si="8"/>
        <v>0</v>
      </c>
      <c r="E79" s="629" t="str">
        <f t="shared" ref="E79:E81" si="10">IF(ABS(D79)&lt;0.0000001,"PASS","REVIEW")</f>
        <v>PASS</v>
      </c>
      <c r="F79" s="639" t="s">
        <v>548</v>
      </c>
      <c r="G79" s="109"/>
      <c r="H79" s="109"/>
    </row>
    <row r="80">
      <c r="A80" s="620" t="s">
        <v>549</v>
      </c>
      <c r="B80" s="661">
        <v>1.0</v>
      </c>
      <c r="C80" s="665">
        <f>$C$48</f>
        <v>1</v>
      </c>
      <c r="D80" s="665">
        <f t="shared" si="8"/>
        <v>0</v>
      </c>
      <c r="E80" s="629" t="str">
        <f t="shared" si="10"/>
        <v>PASS</v>
      </c>
      <c r="F80" s="631" t="s">
        <v>552</v>
      </c>
      <c r="G80" s="109"/>
      <c r="H80" s="109"/>
    </row>
    <row r="81">
      <c r="A81" s="669" t="s">
        <v>554</v>
      </c>
      <c r="B81" s="671">
        <v>0.1</v>
      </c>
      <c r="C81" s="673">
        <f>$D$39</f>
        <v>0.1</v>
      </c>
      <c r="D81" s="673">
        <f t="shared" si="8"/>
        <v>0</v>
      </c>
      <c r="E81" s="674" t="str">
        <f t="shared" si="10"/>
        <v>PASS</v>
      </c>
      <c r="F81" s="676" t="s">
        <v>557</v>
      </c>
      <c r="G81" s="109"/>
      <c r="H81" s="109"/>
    </row>
    <row r="82" ht="28.5" customHeight="1">
      <c r="A82" s="247" t="s">
        <v>558</v>
      </c>
    </row>
    <row r="83">
      <c r="A83" s="109"/>
      <c r="B83" s="109"/>
      <c r="C83" s="109"/>
      <c r="D83" s="109"/>
      <c r="E83" s="109"/>
      <c r="F83" s="109"/>
      <c r="G83" s="109"/>
      <c r="H83" s="109"/>
    </row>
    <row r="84" ht="19.5" customHeight="1">
      <c r="A84" s="116" t="s">
        <v>560</v>
      </c>
    </row>
    <row r="85" ht="28.5" customHeight="1">
      <c r="A85" s="247" t="s">
        <v>561</v>
      </c>
    </row>
  </sheetData>
  <mergeCells count="28">
    <mergeCell ref="A1:H1"/>
    <mergeCell ref="A2:H2"/>
    <mergeCell ref="A3:H3"/>
    <mergeCell ref="A5:H5"/>
    <mergeCell ref="A16:H16"/>
    <mergeCell ref="A20:H20"/>
    <mergeCell ref="A22:H22"/>
    <mergeCell ref="G23:H23"/>
    <mergeCell ref="G24:H24"/>
    <mergeCell ref="G25:H25"/>
    <mergeCell ref="G26:H26"/>
    <mergeCell ref="G27:H27"/>
    <mergeCell ref="G28:H28"/>
    <mergeCell ref="G29:H29"/>
    <mergeCell ref="A62:H62"/>
    <mergeCell ref="A71:H71"/>
    <mergeCell ref="A72:H72"/>
    <mergeCell ref="A74:H74"/>
    <mergeCell ref="A82:H82"/>
    <mergeCell ref="A84:H84"/>
    <mergeCell ref="A85:H85"/>
    <mergeCell ref="A32:H32"/>
    <mergeCell ref="A34:H34"/>
    <mergeCell ref="A40:H40"/>
    <mergeCell ref="A42:H42"/>
    <mergeCell ref="A49:H49"/>
    <mergeCell ref="A51:H51"/>
    <mergeCell ref="A52:H52"/>
  </mergeCells>
  <conditionalFormatting sqref="E76:E81">
    <cfRule type="cellIs" dxfId="2" priority="1" stopIfTrue="1" operator="equal">
      <formula>"PASS"</formula>
    </cfRule>
  </conditionalFormatting>
  <conditionalFormatting sqref="E76:E81">
    <cfRule type="cellIs" dxfId="3" priority="2" stopIfTrue="1" operator="equal">
      <formula>"REVIEW"</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75" outlineLevelRow="1"/>
  <cols>
    <col customWidth="1" min="1" max="1" width="33.29"/>
    <col customWidth="1" min="2" max="2" width="19.57"/>
    <col customWidth="1" min="3" max="3" width="13.0"/>
    <col customWidth="1" min="4" max="4" width="18.0"/>
    <col customWidth="1" min="5" max="22" width="12.0"/>
    <col customWidth="1" min="23" max="23" width="13.14"/>
    <col customWidth="1" min="24" max="24" width="12.0"/>
    <col customWidth="1" min="25" max="25" width="7.86"/>
    <col customWidth="1" min="26" max="26" width="12.0"/>
    <col customWidth="1" min="27" max="27" width="7.43"/>
  </cols>
  <sheetData>
    <row r="1">
      <c r="A1" s="2" t="s">
        <v>1</v>
      </c>
      <c r="B1" s="4"/>
      <c r="C1" s="4"/>
      <c r="D1" s="4"/>
      <c r="E1" s="4"/>
      <c r="F1" s="4"/>
      <c r="G1" s="4"/>
      <c r="H1" s="4"/>
      <c r="I1" s="4"/>
      <c r="J1" s="4"/>
      <c r="K1" s="4"/>
      <c r="L1" s="4"/>
      <c r="M1" s="4"/>
      <c r="N1" s="4"/>
      <c r="O1" s="4"/>
      <c r="P1" s="4"/>
      <c r="Q1" s="4"/>
      <c r="R1" s="4"/>
      <c r="S1" s="4"/>
      <c r="T1" s="4"/>
      <c r="U1" s="4"/>
      <c r="V1" s="4"/>
      <c r="W1" s="4"/>
      <c r="X1" s="4"/>
      <c r="Y1" s="4"/>
      <c r="Z1" s="4"/>
    </row>
    <row r="2">
      <c r="A2" s="10" t="s">
        <v>6</v>
      </c>
      <c r="D2" s="12"/>
      <c r="E2" s="14"/>
      <c r="F2" s="14"/>
      <c r="G2" s="14"/>
      <c r="H2" s="14"/>
      <c r="I2" s="14"/>
      <c r="J2" s="14"/>
      <c r="K2" s="17"/>
      <c r="L2" s="18"/>
      <c r="M2" s="14"/>
      <c r="N2" s="14"/>
      <c r="O2" s="14"/>
      <c r="P2" s="14"/>
      <c r="Q2" s="14"/>
      <c r="R2" s="14"/>
      <c r="S2" s="12"/>
      <c r="W2" s="21"/>
      <c r="X2" s="24"/>
    </row>
    <row r="3">
      <c r="A3" s="10"/>
      <c r="D3" s="12"/>
      <c r="E3" s="14"/>
      <c r="F3" s="14"/>
      <c r="G3" s="14"/>
      <c r="H3" s="14"/>
      <c r="I3" s="14"/>
      <c r="J3" s="14"/>
      <c r="K3" s="17"/>
      <c r="L3" s="18"/>
      <c r="M3" s="14"/>
      <c r="N3" s="14"/>
      <c r="O3" s="14"/>
      <c r="P3" s="14"/>
      <c r="Q3" s="14"/>
      <c r="R3" s="14"/>
      <c r="S3" s="12"/>
      <c r="W3" s="21"/>
      <c r="X3" s="24"/>
    </row>
    <row r="4">
      <c r="A4" s="31" t="s">
        <v>14</v>
      </c>
      <c r="B4" s="34" t="s">
        <v>16</v>
      </c>
      <c r="C4" s="37" t="s">
        <v>17</v>
      </c>
      <c r="D4" s="34" t="s">
        <v>19</v>
      </c>
      <c r="E4" s="34" t="s">
        <v>20</v>
      </c>
      <c r="F4" s="34" t="s">
        <v>21</v>
      </c>
      <c r="G4" s="34" t="s">
        <v>22</v>
      </c>
      <c r="H4" s="34" t="s">
        <v>23</v>
      </c>
      <c r="I4" s="34" t="s">
        <v>24</v>
      </c>
      <c r="J4" s="34" t="s">
        <v>25</v>
      </c>
      <c r="K4" s="34" t="s">
        <v>27</v>
      </c>
      <c r="L4" s="34" t="s">
        <v>28</v>
      </c>
      <c r="M4" s="34" t="s">
        <v>29</v>
      </c>
      <c r="N4" s="34" t="s">
        <v>30</v>
      </c>
      <c r="O4" s="34" t="s">
        <v>32</v>
      </c>
      <c r="P4" s="34" t="s">
        <v>33</v>
      </c>
      <c r="Q4" s="34" t="s">
        <v>35</v>
      </c>
      <c r="R4" s="34" t="s">
        <v>36</v>
      </c>
      <c r="S4" s="34" t="s">
        <v>37</v>
      </c>
      <c r="T4" s="34" t="s">
        <v>38</v>
      </c>
      <c r="U4" s="34" t="s">
        <v>39</v>
      </c>
      <c r="V4" s="34" t="s">
        <v>40</v>
      </c>
      <c r="W4" s="34" t="s">
        <v>41</v>
      </c>
      <c r="X4" s="34" t="s">
        <v>42</v>
      </c>
      <c r="Y4" s="34"/>
      <c r="Z4" s="40" t="s">
        <v>43</v>
      </c>
      <c r="AA4" s="42"/>
    </row>
    <row r="5">
      <c r="A5" s="43" t="s">
        <v>44</v>
      </c>
      <c r="B5" s="44" t="s">
        <v>46</v>
      </c>
      <c r="C5" s="46" t="s">
        <v>20</v>
      </c>
      <c r="D5" s="43" t="s">
        <v>50</v>
      </c>
      <c r="E5" s="48">
        <v>2000.0</v>
      </c>
      <c r="F5" s="50">
        <v>3000.0</v>
      </c>
      <c r="G5" s="50">
        <v>3000.0</v>
      </c>
      <c r="H5" s="50">
        <v>3000.0</v>
      </c>
      <c r="I5" s="50">
        <v>3000.0</v>
      </c>
      <c r="J5" s="50">
        <v>3000.0</v>
      </c>
      <c r="K5" s="50">
        <v>3000.0</v>
      </c>
      <c r="L5" s="50">
        <v>3000.0</v>
      </c>
      <c r="M5" s="50">
        <v>3000.0</v>
      </c>
      <c r="N5" s="50">
        <v>3000.0</v>
      </c>
      <c r="O5" s="50">
        <v>3000.0</v>
      </c>
      <c r="P5" s="50">
        <v>3000.0</v>
      </c>
      <c r="Q5" s="50">
        <v>3000.0</v>
      </c>
      <c r="R5" s="50">
        <v>3000.0</v>
      </c>
      <c r="S5" s="50">
        <v>3000.0</v>
      </c>
      <c r="T5" s="50">
        <v>3000.0</v>
      </c>
      <c r="U5" s="50">
        <v>3000.0</v>
      </c>
      <c r="V5" s="55">
        <v>3000.0</v>
      </c>
      <c r="W5" s="63">
        <f t="shared" ref="W5:W7" si="1">SUM(E5:P5)</f>
        <v>35000</v>
      </c>
      <c r="X5" s="69">
        <f t="shared" ref="X5:X7" si="2">SUM(E5:V5)</f>
        <v>53000</v>
      </c>
      <c r="Y5" s="71"/>
      <c r="Z5" s="74" t="s">
        <v>72</v>
      </c>
      <c r="AA5" s="76"/>
    </row>
    <row r="6">
      <c r="A6" s="43" t="s">
        <v>44</v>
      </c>
      <c r="B6" s="79" t="s">
        <v>46</v>
      </c>
      <c r="C6" s="81" t="s">
        <v>20</v>
      </c>
      <c r="D6" s="83" t="s">
        <v>77</v>
      </c>
      <c r="E6" s="86">
        <v>2597.4</v>
      </c>
      <c r="F6" s="89">
        <v>3896.1</v>
      </c>
      <c r="G6" s="89">
        <v>3896.1</v>
      </c>
      <c r="H6" s="89">
        <v>3896.1</v>
      </c>
      <c r="I6" s="89">
        <v>3896.1</v>
      </c>
      <c r="J6" s="89">
        <v>3896.1</v>
      </c>
      <c r="K6" s="89">
        <v>3896.1</v>
      </c>
      <c r="L6" s="89">
        <v>3896.1</v>
      </c>
      <c r="M6" s="89">
        <v>3896.1</v>
      </c>
      <c r="N6" s="89">
        <v>3896.1</v>
      </c>
      <c r="O6" s="89">
        <v>3896.1</v>
      </c>
      <c r="P6" s="89">
        <v>3896.1</v>
      </c>
      <c r="Q6" s="89">
        <v>3896.1</v>
      </c>
      <c r="R6" s="89">
        <v>3896.1</v>
      </c>
      <c r="S6" s="89">
        <v>3896.1</v>
      </c>
      <c r="T6" s="89">
        <v>3896.1</v>
      </c>
      <c r="U6" s="89">
        <v>3896.1</v>
      </c>
      <c r="V6" s="93">
        <v>3896.1</v>
      </c>
      <c r="W6" s="96">
        <f t="shared" si="1"/>
        <v>45454.5</v>
      </c>
      <c r="X6" s="100">
        <f t="shared" si="2"/>
        <v>68831.1</v>
      </c>
      <c r="Y6" s="102"/>
      <c r="Z6" s="104"/>
      <c r="AA6" s="104"/>
    </row>
    <row r="7">
      <c r="A7" s="43" t="s">
        <v>44</v>
      </c>
      <c r="B7" s="79" t="s">
        <v>46</v>
      </c>
      <c r="C7" s="81" t="s">
        <v>20</v>
      </c>
      <c r="D7" s="108" t="s">
        <v>88</v>
      </c>
      <c r="E7" s="86">
        <v>1090.91</v>
      </c>
      <c r="F7" s="89">
        <v>1636.36</v>
      </c>
      <c r="G7" s="89">
        <v>1636.36</v>
      </c>
      <c r="H7" s="89">
        <v>1636.36</v>
      </c>
      <c r="I7" s="89">
        <v>1636.36</v>
      </c>
      <c r="J7" s="89">
        <v>1636.36</v>
      </c>
      <c r="K7" s="89">
        <v>1636.36</v>
      </c>
      <c r="L7" s="89">
        <v>1636.36</v>
      </c>
      <c r="M7" s="89">
        <v>1636.36</v>
      </c>
      <c r="N7" s="89">
        <v>1636.36</v>
      </c>
      <c r="O7" s="89">
        <v>1636.36</v>
      </c>
      <c r="P7" s="89">
        <v>1636.36</v>
      </c>
      <c r="Q7" s="89">
        <v>1636.36</v>
      </c>
      <c r="R7" s="89">
        <v>1636.36</v>
      </c>
      <c r="S7" s="89">
        <v>1636.36</v>
      </c>
      <c r="T7" s="89">
        <v>1636.36</v>
      </c>
      <c r="U7" s="89">
        <v>1636.36</v>
      </c>
      <c r="V7" s="93">
        <v>1636.36</v>
      </c>
      <c r="W7" s="96">
        <f t="shared" si="1"/>
        <v>19090.87</v>
      </c>
      <c r="X7" s="100">
        <f t="shared" si="2"/>
        <v>28909.03</v>
      </c>
      <c r="Y7" s="102"/>
      <c r="Z7" s="104"/>
      <c r="AA7" s="104"/>
    </row>
    <row r="8">
      <c r="A8" s="43" t="s">
        <v>44</v>
      </c>
      <c r="B8" s="79" t="s">
        <v>46</v>
      </c>
      <c r="C8" s="81" t="s">
        <v>20</v>
      </c>
      <c r="D8" s="108" t="s">
        <v>96</v>
      </c>
      <c r="E8" s="86">
        <v>763.64</v>
      </c>
      <c r="F8" s="89">
        <v>1145.45</v>
      </c>
      <c r="G8" s="89">
        <v>1145.45</v>
      </c>
      <c r="H8" s="89">
        <v>1145.45</v>
      </c>
      <c r="I8" s="89">
        <v>1145.45</v>
      </c>
      <c r="J8" s="89">
        <v>1145.45</v>
      </c>
      <c r="K8" s="89">
        <v>1145.45</v>
      </c>
      <c r="L8" s="89">
        <v>1145.45</v>
      </c>
      <c r="M8" s="89">
        <v>1145.45</v>
      </c>
      <c r="N8" s="89">
        <v>1145.45</v>
      </c>
      <c r="O8" s="89">
        <v>1145.45</v>
      </c>
      <c r="P8" s="89">
        <v>1145.45</v>
      </c>
      <c r="Q8" s="89">
        <v>1145.45</v>
      </c>
      <c r="R8" s="89">
        <v>1145.45</v>
      </c>
      <c r="S8" s="89">
        <v>1145.45</v>
      </c>
      <c r="T8" s="89">
        <v>1145.45</v>
      </c>
      <c r="U8" s="89">
        <v>1145.45</v>
      </c>
      <c r="V8" s="93">
        <v>1145.45</v>
      </c>
      <c r="W8" s="96">
        <f>SUM(H8:P8)</f>
        <v>10309.05</v>
      </c>
      <c r="X8" s="100">
        <f>SUM(H8:V8)</f>
        <v>17181.75</v>
      </c>
      <c r="Y8" s="102"/>
      <c r="Z8" s="104"/>
      <c r="AA8" s="104"/>
    </row>
    <row r="9">
      <c r="A9" s="43" t="s">
        <v>44</v>
      </c>
      <c r="B9" s="126" t="s">
        <v>46</v>
      </c>
      <c r="C9" s="129" t="s">
        <v>20</v>
      </c>
      <c r="D9" s="131" t="s">
        <v>121</v>
      </c>
      <c r="E9" s="133">
        <v>3361.04</v>
      </c>
      <c r="F9" s="135">
        <v>5041.56</v>
      </c>
      <c r="G9" s="135">
        <v>5041.56</v>
      </c>
      <c r="H9" s="135">
        <v>5041.56</v>
      </c>
      <c r="I9" s="135">
        <v>5041.56</v>
      </c>
      <c r="J9" s="135">
        <v>5041.56</v>
      </c>
      <c r="K9" s="135">
        <v>5041.56</v>
      </c>
      <c r="L9" s="135">
        <v>5041.56</v>
      </c>
      <c r="M9" s="135">
        <v>5041.56</v>
      </c>
      <c r="N9" s="135">
        <v>5041.56</v>
      </c>
      <c r="O9" s="135">
        <v>5041.56</v>
      </c>
      <c r="P9" s="135">
        <v>5041.56</v>
      </c>
      <c r="Q9" s="135">
        <v>5041.56</v>
      </c>
      <c r="R9" s="135">
        <v>5041.56</v>
      </c>
      <c r="S9" s="135">
        <v>5041.56</v>
      </c>
      <c r="T9" s="135">
        <v>5041.56</v>
      </c>
      <c r="U9" s="135">
        <v>5041.56</v>
      </c>
      <c r="V9" s="140">
        <v>5041.56</v>
      </c>
      <c r="W9" s="145">
        <f t="shared" ref="W9:W25" si="3">SUM(E9:P9)</f>
        <v>58818.2</v>
      </c>
      <c r="X9" s="149">
        <f t="shared" ref="X9:X25" si="4">SUM(E9:V9)</f>
        <v>89067.56</v>
      </c>
      <c r="Y9" s="151"/>
      <c r="Z9" s="156">
        <f>X7-X8</f>
        <v>11727.28</v>
      </c>
      <c r="AA9" s="158"/>
    </row>
    <row r="10">
      <c r="A10" s="160" t="s">
        <v>160</v>
      </c>
      <c r="B10" s="163" t="s">
        <v>162</v>
      </c>
      <c r="C10" s="164" t="s">
        <v>21</v>
      </c>
      <c r="D10" s="160" t="s">
        <v>50</v>
      </c>
      <c r="E10" s="165"/>
      <c r="F10" s="165">
        <v>2000.0</v>
      </c>
      <c r="G10" s="165">
        <v>3000.0</v>
      </c>
      <c r="H10" s="165">
        <v>3000.0</v>
      </c>
      <c r="I10" s="165">
        <v>4000.0</v>
      </c>
      <c r="J10" s="165">
        <v>4000.0</v>
      </c>
      <c r="K10" s="165">
        <v>4000.0</v>
      </c>
      <c r="L10" s="165">
        <v>4000.0</v>
      </c>
      <c r="M10" s="165">
        <v>4000.0</v>
      </c>
      <c r="N10" s="165">
        <v>4000.0</v>
      </c>
      <c r="O10" s="165">
        <v>4000.0</v>
      </c>
      <c r="P10" s="165">
        <v>4000.0</v>
      </c>
      <c r="Q10" s="165">
        <v>4000.0</v>
      </c>
      <c r="R10" s="165">
        <v>4000.0</v>
      </c>
      <c r="S10" s="165">
        <v>4000.0</v>
      </c>
      <c r="T10" s="165">
        <v>4000.0</v>
      </c>
      <c r="U10" s="165">
        <v>4000.0</v>
      </c>
      <c r="V10" s="167">
        <v>4000.0</v>
      </c>
      <c r="W10" s="169">
        <f t="shared" si="3"/>
        <v>40000</v>
      </c>
      <c r="X10" s="172">
        <f t="shared" si="4"/>
        <v>64000</v>
      </c>
      <c r="Y10" s="173"/>
      <c r="Z10" s="175" t="s">
        <v>72</v>
      </c>
      <c r="AA10" s="177"/>
    </row>
    <row r="11">
      <c r="A11" s="160" t="s">
        <v>160</v>
      </c>
      <c r="B11" s="179" t="s">
        <v>162</v>
      </c>
      <c r="C11" s="182" t="s">
        <v>21</v>
      </c>
      <c r="D11" s="184" t="s">
        <v>77</v>
      </c>
      <c r="E11" s="186">
        <v>0.0</v>
      </c>
      <c r="F11" s="186">
        <v>2597.4</v>
      </c>
      <c r="G11" s="186">
        <v>2597.4</v>
      </c>
      <c r="H11" s="186">
        <v>3896.1</v>
      </c>
      <c r="I11" s="186">
        <v>3896.1</v>
      </c>
      <c r="J11" s="186">
        <v>5194.81</v>
      </c>
      <c r="K11" s="186">
        <v>5194.81</v>
      </c>
      <c r="L11" s="186">
        <v>5194.81</v>
      </c>
      <c r="M11" s="186">
        <v>5194.81</v>
      </c>
      <c r="N11" s="186">
        <v>5194.81</v>
      </c>
      <c r="O11" s="186">
        <v>5194.81</v>
      </c>
      <c r="P11" s="186">
        <v>5194.81</v>
      </c>
      <c r="Q11" s="186">
        <v>5194.81</v>
      </c>
      <c r="R11" s="186">
        <v>5194.81</v>
      </c>
      <c r="S11" s="186">
        <v>5194.81</v>
      </c>
      <c r="T11" s="186">
        <v>5194.81</v>
      </c>
      <c r="U11" s="186">
        <v>5194.81</v>
      </c>
      <c r="V11" s="191">
        <v>5194.81</v>
      </c>
      <c r="W11" s="193">
        <f t="shared" si="3"/>
        <v>49350.67</v>
      </c>
      <c r="X11" s="194">
        <f t="shared" si="4"/>
        <v>80519.53</v>
      </c>
      <c r="Y11" s="197"/>
      <c r="Z11" s="198"/>
      <c r="AA11" s="198"/>
    </row>
    <row r="12">
      <c r="A12" s="160" t="s">
        <v>160</v>
      </c>
      <c r="B12" s="179" t="s">
        <v>162</v>
      </c>
      <c r="C12" s="182" t="s">
        <v>21</v>
      </c>
      <c r="D12" s="201" t="s">
        <v>88</v>
      </c>
      <c r="E12" s="186">
        <v>0.0</v>
      </c>
      <c r="F12" s="186">
        <v>1090.91</v>
      </c>
      <c r="G12" s="186">
        <v>1090.91</v>
      </c>
      <c r="H12" s="186">
        <v>1636.36</v>
      </c>
      <c r="I12" s="186">
        <v>1636.36</v>
      </c>
      <c r="J12" s="186">
        <v>2181.82</v>
      </c>
      <c r="K12" s="186">
        <v>2181.82</v>
      </c>
      <c r="L12" s="186">
        <v>2181.82</v>
      </c>
      <c r="M12" s="186">
        <v>2181.82</v>
      </c>
      <c r="N12" s="186">
        <v>2181.82</v>
      </c>
      <c r="O12" s="186">
        <v>2181.82</v>
      </c>
      <c r="P12" s="186">
        <v>2181.82</v>
      </c>
      <c r="Q12" s="186">
        <v>2181.82</v>
      </c>
      <c r="R12" s="186">
        <v>2181.82</v>
      </c>
      <c r="S12" s="186">
        <v>2181.82</v>
      </c>
      <c r="T12" s="186">
        <v>2181.82</v>
      </c>
      <c r="U12" s="186">
        <v>2181.82</v>
      </c>
      <c r="V12" s="191">
        <v>2181.82</v>
      </c>
      <c r="W12" s="193">
        <f t="shared" si="3"/>
        <v>20727.28</v>
      </c>
      <c r="X12" s="194">
        <f t="shared" si="4"/>
        <v>33818.2</v>
      </c>
      <c r="Y12" s="197"/>
      <c r="Z12" s="198"/>
      <c r="AA12" s="198"/>
    </row>
    <row r="13">
      <c r="A13" s="160" t="s">
        <v>160</v>
      </c>
      <c r="B13" s="179" t="s">
        <v>162</v>
      </c>
      <c r="C13" s="182" t="s">
        <v>21</v>
      </c>
      <c r="D13" s="201" t="s">
        <v>96</v>
      </c>
      <c r="E13" s="186">
        <v>0.0</v>
      </c>
      <c r="F13" s="186">
        <v>763.64</v>
      </c>
      <c r="G13" s="186">
        <v>763.64</v>
      </c>
      <c r="H13" s="186">
        <v>1145.45</v>
      </c>
      <c r="I13" s="186">
        <v>1145.45</v>
      </c>
      <c r="J13" s="186">
        <v>1527.27</v>
      </c>
      <c r="K13" s="186">
        <v>1527.27</v>
      </c>
      <c r="L13" s="186">
        <v>1527.27</v>
      </c>
      <c r="M13" s="186">
        <v>1527.27</v>
      </c>
      <c r="N13" s="186">
        <v>1527.27</v>
      </c>
      <c r="O13" s="186">
        <v>1527.27</v>
      </c>
      <c r="P13" s="186">
        <v>1527.27</v>
      </c>
      <c r="Q13" s="186">
        <v>1527.27</v>
      </c>
      <c r="R13" s="186">
        <v>1527.27</v>
      </c>
      <c r="S13" s="186">
        <v>1527.27</v>
      </c>
      <c r="T13" s="186">
        <v>1527.27</v>
      </c>
      <c r="U13" s="186">
        <v>1527.27</v>
      </c>
      <c r="V13" s="191">
        <v>1527.27</v>
      </c>
      <c r="W13" s="193">
        <f t="shared" si="3"/>
        <v>14509.07</v>
      </c>
      <c r="X13" s="194">
        <f t="shared" si="4"/>
        <v>23672.69</v>
      </c>
      <c r="Y13" s="197"/>
      <c r="Z13" s="198"/>
      <c r="AA13" s="198"/>
    </row>
    <row r="14">
      <c r="A14" s="160" t="s">
        <v>160</v>
      </c>
      <c r="B14" s="211" t="s">
        <v>162</v>
      </c>
      <c r="C14" s="213" t="s">
        <v>21</v>
      </c>
      <c r="D14" s="216" t="s">
        <v>121</v>
      </c>
      <c r="E14" s="218">
        <v>0.0</v>
      </c>
      <c r="F14" s="218">
        <v>3361.04</v>
      </c>
      <c r="G14" s="218">
        <v>3361.04</v>
      </c>
      <c r="H14" s="218">
        <v>5041.56</v>
      </c>
      <c r="I14" s="218">
        <v>5041.56</v>
      </c>
      <c r="J14" s="218">
        <v>6722.08</v>
      </c>
      <c r="K14" s="218">
        <v>6722.08</v>
      </c>
      <c r="L14" s="218">
        <v>6722.08</v>
      </c>
      <c r="M14" s="218">
        <v>6722.08</v>
      </c>
      <c r="N14" s="218">
        <v>6722.08</v>
      </c>
      <c r="O14" s="218">
        <v>6722.08</v>
      </c>
      <c r="P14" s="218">
        <v>6722.08</v>
      </c>
      <c r="Q14" s="218">
        <v>6722.08</v>
      </c>
      <c r="R14" s="218">
        <v>6722.08</v>
      </c>
      <c r="S14" s="218">
        <v>6722.08</v>
      </c>
      <c r="T14" s="218">
        <v>6722.08</v>
      </c>
      <c r="U14" s="218">
        <v>6722.08</v>
      </c>
      <c r="V14" s="221">
        <v>6722.08</v>
      </c>
      <c r="W14" s="224">
        <f t="shared" si="3"/>
        <v>63859.76</v>
      </c>
      <c r="X14" s="227">
        <f t="shared" si="4"/>
        <v>104192.24</v>
      </c>
      <c r="Y14" s="228"/>
      <c r="Z14" s="231">
        <f>X12-X13</f>
        <v>10145.51</v>
      </c>
      <c r="AA14" s="233"/>
    </row>
    <row r="15">
      <c r="A15" s="236" t="s">
        <v>246</v>
      </c>
      <c r="B15" s="238" t="s">
        <v>248</v>
      </c>
      <c r="C15" s="239" t="s">
        <v>21</v>
      </c>
      <c r="D15" s="236" t="s">
        <v>50</v>
      </c>
      <c r="E15" s="242">
        <v>0.0</v>
      </c>
      <c r="F15" s="242">
        <v>1000.0</v>
      </c>
      <c r="G15" s="242">
        <v>1000.0</v>
      </c>
      <c r="H15" s="242">
        <v>2000.0</v>
      </c>
      <c r="I15" s="242">
        <v>2000.0</v>
      </c>
      <c r="J15" s="242">
        <v>2500.0</v>
      </c>
      <c r="K15" s="242">
        <v>2500.0</v>
      </c>
      <c r="L15" s="242">
        <v>2500.0</v>
      </c>
      <c r="M15" s="242">
        <v>2500.0</v>
      </c>
      <c r="N15" s="242">
        <v>2500.0</v>
      </c>
      <c r="O15" s="242">
        <v>2500.0</v>
      </c>
      <c r="P15" s="242">
        <v>2500.0</v>
      </c>
      <c r="Q15" s="242">
        <v>2500.0</v>
      </c>
      <c r="R15" s="242">
        <v>2500.0</v>
      </c>
      <c r="S15" s="242">
        <v>2500.0</v>
      </c>
      <c r="T15" s="242">
        <v>2500.0</v>
      </c>
      <c r="U15" s="242">
        <v>2500.0</v>
      </c>
      <c r="V15" s="245">
        <v>2500.0</v>
      </c>
      <c r="W15" s="248">
        <f t="shared" si="3"/>
        <v>23500</v>
      </c>
      <c r="X15" s="250">
        <f t="shared" si="4"/>
        <v>38500</v>
      </c>
      <c r="Y15" s="251"/>
      <c r="Z15" s="253" t="s">
        <v>72</v>
      </c>
      <c r="AA15" s="254"/>
    </row>
    <row r="16">
      <c r="A16" s="236" t="s">
        <v>246</v>
      </c>
      <c r="B16" s="256" t="s">
        <v>248</v>
      </c>
      <c r="C16" s="257" t="s">
        <v>21</v>
      </c>
      <c r="D16" s="259" t="s">
        <v>77</v>
      </c>
      <c r="E16" s="260">
        <v>0.0</v>
      </c>
      <c r="F16" s="260">
        <v>0.0</v>
      </c>
      <c r="G16" s="260">
        <v>0.0</v>
      </c>
      <c r="H16" s="260">
        <v>2597.4</v>
      </c>
      <c r="I16" s="260">
        <v>2597.4</v>
      </c>
      <c r="J16" s="260">
        <v>3246.75</v>
      </c>
      <c r="K16" s="260">
        <v>3246.75</v>
      </c>
      <c r="L16" s="260">
        <v>3246.75</v>
      </c>
      <c r="M16" s="260">
        <v>3246.75</v>
      </c>
      <c r="N16" s="260">
        <v>3246.75</v>
      </c>
      <c r="O16" s="260">
        <v>3246.75</v>
      </c>
      <c r="P16" s="260">
        <v>3246.75</v>
      </c>
      <c r="Q16" s="260">
        <v>3246.75</v>
      </c>
      <c r="R16" s="260">
        <v>3246.75</v>
      </c>
      <c r="S16" s="260">
        <v>3246.75</v>
      </c>
      <c r="T16" s="260">
        <v>3246.75</v>
      </c>
      <c r="U16" s="260">
        <v>3246.75</v>
      </c>
      <c r="V16" s="265">
        <v>3246.75</v>
      </c>
      <c r="W16" s="267">
        <f t="shared" si="3"/>
        <v>27922.05</v>
      </c>
      <c r="X16" s="270">
        <f t="shared" si="4"/>
        <v>47402.55</v>
      </c>
      <c r="Y16" s="271"/>
      <c r="Z16" s="273"/>
      <c r="AA16" s="273"/>
    </row>
    <row r="17">
      <c r="A17" s="236" t="s">
        <v>246</v>
      </c>
      <c r="B17" s="256" t="s">
        <v>248</v>
      </c>
      <c r="C17" s="257" t="s">
        <v>21</v>
      </c>
      <c r="D17" s="275" t="s">
        <v>88</v>
      </c>
      <c r="E17" s="260">
        <v>0.0</v>
      </c>
      <c r="F17" s="260">
        <v>0.0</v>
      </c>
      <c r="G17" s="260">
        <v>0.0</v>
      </c>
      <c r="H17" s="260">
        <v>1090.91</v>
      </c>
      <c r="I17" s="260">
        <v>1090.91</v>
      </c>
      <c r="J17" s="260">
        <v>1363.64</v>
      </c>
      <c r="K17" s="260">
        <v>1363.64</v>
      </c>
      <c r="L17" s="260">
        <v>1363.64</v>
      </c>
      <c r="M17" s="260">
        <v>1363.64</v>
      </c>
      <c r="N17" s="260">
        <v>1363.64</v>
      </c>
      <c r="O17" s="260">
        <v>1363.64</v>
      </c>
      <c r="P17" s="260">
        <v>1363.64</v>
      </c>
      <c r="Q17" s="260">
        <v>1363.64</v>
      </c>
      <c r="R17" s="260">
        <v>1363.64</v>
      </c>
      <c r="S17" s="260">
        <v>1363.64</v>
      </c>
      <c r="T17" s="260">
        <v>1363.64</v>
      </c>
      <c r="U17" s="260">
        <v>1363.64</v>
      </c>
      <c r="V17" s="265">
        <v>1363.64</v>
      </c>
      <c r="W17" s="267">
        <f t="shared" si="3"/>
        <v>11727.3</v>
      </c>
      <c r="X17" s="270">
        <f t="shared" si="4"/>
        <v>19909.14</v>
      </c>
      <c r="Y17" s="271"/>
      <c r="Z17" s="273"/>
      <c r="AA17" s="273"/>
    </row>
    <row r="18">
      <c r="A18" s="236" t="s">
        <v>246</v>
      </c>
      <c r="B18" s="256" t="s">
        <v>248</v>
      </c>
      <c r="C18" s="257" t="s">
        <v>21</v>
      </c>
      <c r="D18" s="275" t="s">
        <v>96</v>
      </c>
      <c r="E18" s="260">
        <v>0.0</v>
      </c>
      <c r="F18" s="260">
        <v>0.0</v>
      </c>
      <c r="G18" s="260">
        <v>0.0</v>
      </c>
      <c r="H18" s="260">
        <v>763.64</v>
      </c>
      <c r="I18" s="260">
        <v>763.64</v>
      </c>
      <c r="J18" s="260">
        <v>954.55</v>
      </c>
      <c r="K18" s="260">
        <v>954.55</v>
      </c>
      <c r="L18" s="260">
        <v>954.55</v>
      </c>
      <c r="M18" s="260">
        <v>954.55</v>
      </c>
      <c r="N18" s="260">
        <v>954.55</v>
      </c>
      <c r="O18" s="260">
        <v>954.55</v>
      </c>
      <c r="P18" s="260">
        <v>954.55</v>
      </c>
      <c r="Q18" s="260">
        <v>954.55</v>
      </c>
      <c r="R18" s="260">
        <v>954.55</v>
      </c>
      <c r="S18" s="260">
        <v>954.55</v>
      </c>
      <c r="T18" s="260">
        <v>954.55</v>
      </c>
      <c r="U18" s="260">
        <v>954.55</v>
      </c>
      <c r="V18" s="265">
        <v>954.55</v>
      </c>
      <c r="W18" s="267">
        <f t="shared" si="3"/>
        <v>8209.13</v>
      </c>
      <c r="X18" s="270">
        <f t="shared" si="4"/>
        <v>13936.43</v>
      </c>
      <c r="Y18" s="271"/>
      <c r="Z18" s="273"/>
      <c r="AA18" s="273"/>
    </row>
    <row r="19">
      <c r="A19" s="236" t="s">
        <v>246</v>
      </c>
      <c r="B19" s="281" t="s">
        <v>248</v>
      </c>
      <c r="C19" s="285" t="s">
        <v>21</v>
      </c>
      <c r="D19" s="288" t="s">
        <v>121</v>
      </c>
      <c r="E19" s="291">
        <v>0.0</v>
      </c>
      <c r="F19" s="291">
        <v>1212.0</v>
      </c>
      <c r="G19" s="291">
        <v>1212.0</v>
      </c>
      <c r="H19" s="291">
        <v>3361.04</v>
      </c>
      <c r="I19" s="291">
        <v>3361.04</v>
      </c>
      <c r="J19" s="291">
        <v>4201.3</v>
      </c>
      <c r="K19" s="291">
        <v>4201.3</v>
      </c>
      <c r="L19" s="291">
        <v>4201.3</v>
      </c>
      <c r="M19" s="291">
        <v>4201.3</v>
      </c>
      <c r="N19" s="291">
        <v>4201.3</v>
      </c>
      <c r="O19" s="291">
        <v>4201.3</v>
      </c>
      <c r="P19" s="291">
        <v>4201.3</v>
      </c>
      <c r="Q19" s="291">
        <v>4201.3</v>
      </c>
      <c r="R19" s="291">
        <v>4201.3</v>
      </c>
      <c r="S19" s="291">
        <v>4201.3</v>
      </c>
      <c r="T19" s="291">
        <v>4201.3</v>
      </c>
      <c r="U19" s="291">
        <v>4201.3</v>
      </c>
      <c r="V19" s="297">
        <v>4201.3</v>
      </c>
      <c r="W19" s="300">
        <f t="shared" si="3"/>
        <v>38555.18</v>
      </c>
      <c r="X19" s="303">
        <f t="shared" si="4"/>
        <v>63762.98</v>
      </c>
      <c r="Y19" s="305"/>
      <c r="Z19" s="310">
        <f>X17-X18</f>
        <v>5972.71</v>
      </c>
      <c r="AA19" s="314"/>
    </row>
    <row r="20">
      <c r="A20" s="316" t="s">
        <v>316</v>
      </c>
      <c r="B20" s="318" t="s">
        <v>318</v>
      </c>
      <c r="C20" s="320" t="s">
        <v>24</v>
      </c>
      <c r="D20" s="316" t="s">
        <v>50</v>
      </c>
      <c r="E20" s="321">
        <v>0.0</v>
      </c>
      <c r="F20" s="321">
        <v>0.0</v>
      </c>
      <c r="G20" s="321">
        <v>0.0</v>
      </c>
      <c r="H20" s="321">
        <v>0.0</v>
      </c>
      <c r="I20" s="321">
        <v>2000.0</v>
      </c>
      <c r="J20" s="321">
        <v>2500.0</v>
      </c>
      <c r="K20" s="321">
        <v>2500.0</v>
      </c>
      <c r="L20" s="321">
        <v>3000.0</v>
      </c>
      <c r="M20" s="321">
        <v>3000.0</v>
      </c>
      <c r="N20" s="321">
        <v>3000.0</v>
      </c>
      <c r="O20" s="321">
        <v>3000.0</v>
      </c>
      <c r="P20" s="321">
        <v>3000.0</v>
      </c>
      <c r="Q20" s="321">
        <v>3000.0</v>
      </c>
      <c r="R20" s="321">
        <v>3000.0</v>
      </c>
      <c r="S20" s="321">
        <v>3000.0</v>
      </c>
      <c r="T20" s="321">
        <v>3000.0</v>
      </c>
      <c r="U20" s="321">
        <v>3000.0</v>
      </c>
      <c r="V20" s="324">
        <v>3000.0</v>
      </c>
      <c r="W20" s="325">
        <f t="shared" si="3"/>
        <v>22000</v>
      </c>
      <c r="X20" s="327">
        <f t="shared" si="4"/>
        <v>40000</v>
      </c>
      <c r="Y20" s="328"/>
      <c r="Z20" s="330" t="s">
        <v>72</v>
      </c>
      <c r="AA20" s="321"/>
    </row>
    <row r="21">
      <c r="A21" s="316" t="s">
        <v>316</v>
      </c>
      <c r="B21" s="332" t="s">
        <v>318</v>
      </c>
      <c r="C21" s="335" t="s">
        <v>24</v>
      </c>
      <c r="D21" s="336" t="s">
        <v>77</v>
      </c>
      <c r="E21" s="338">
        <v>0.0</v>
      </c>
      <c r="F21" s="338">
        <v>0.0</v>
      </c>
      <c r="G21" s="338">
        <v>0.0</v>
      </c>
      <c r="H21" s="338">
        <v>0.0</v>
      </c>
      <c r="I21" s="338">
        <v>2597.4</v>
      </c>
      <c r="J21" s="338">
        <v>3246.75</v>
      </c>
      <c r="K21" s="338">
        <v>3246.75</v>
      </c>
      <c r="L21" s="338">
        <v>3896.1</v>
      </c>
      <c r="M21" s="338">
        <v>3896.1</v>
      </c>
      <c r="N21" s="338">
        <v>3896.1</v>
      </c>
      <c r="O21" s="338">
        <v>3896.1</v>
      </c>
      <c r="P21" s="338">
        <v>3896.1</v>
      </c>
      <c r="Q21" s="338">
        <v>3896.1</v>
      </c>
      <c r="R21" s="338">
        <v>3896.1</v>
      </c>
      <c r="S21" s="338">
        <v>3896.1</v>
      </c>
      <c r="T21" s="338">
        <v>3896.1</v>
      </c>
      <c r="U21" s="338">
        <v>3896.1</v>
      </c>
      <c r="V21" s="343">
        <v>3896.1</v>
      </c>
      <c r="W21" s="345">
        <f t="shared" si="3"/>
        <v>28571.4</v>
      </c>
      <c r="X21" s="347">
        <f t="shared" si="4"/>
        <v>51948</v>
      </c>
      <c r="Y21" s="350"/>
      <c r="Z21" s="338"/>
      <c r="AA21" s="338"/>
    </row>
    <row r="22">
      <c r="A22" s="316" t="s">
        <v>316</v>
      </c>
      <c r="B22" s="332" t="s">
        <v>318</v>
      </c>
      <c r="C22" s="335" t="s">
        <v>24</v>
      </c>
      <c r="D22" s="355" t="s">
        <v>88</v>
      </c>
      <c r="E22" s="338">
        <v>0.0</v>
      </c>
      <c r="F22" s="338">
        <v>0.0</v>
      </c>
      <c r="G22" s="338">
        <v>0.0</v>
      </c>
      <c r="H22" s="338">
        <v>0.0</v>
      </c>
      <c r="I22" s="338">
        <v>1090.91</v>
      </c>
      <c r="J22" s="338">
        <v>1363.64</v>
      </c>
      <c r="K22" s="338">
        <v>1363.64</v>
      </c>
      <c r="L22" s="338">
        <v>1636.36</v>
      </c>
      <c r="M22" s="338">
        <v>1636.36</v>
      </c>
      <c r="N22" s="338">
        <v>1636.36</v>
      </c>
      <c r="O22" s="338">
        <v>1636.36</v>
      </c>
      <c r="P22" s="338">
        <v>1636.36</v>
      </c>
      <c r="Q22" s="338">
        <v>1636.36</v>
      </c>
      <c r="R22" s="338">
        <v>1636.36</v>
      </c>
      <c r="S22" s="338">
        <v>1636.36</v>
      </c>
      <c r="T22" s="338">
        <v>1636.36</v>
      </c>
      <c r="U22" s="338">
        <v>1636.36</v>
      </c>
      <c r="V22" s="343">
        <v>1636.36</v>
      </c>
      <c r="W22" s="345">
        <f t="shared" si="3"/>
        <v>11999.99</v>
      </c>
      <c r="X22" s="347">
        <f t="shared" si="4"/>
        <v>21818.15</v>
      </c>
      <c r="Y22" s="350"/>
      <c r="Z22" s="338"/>
      <c r="AA22" s="338"/>
    </row>
    <row r="23">
      <c r="A23" s="316" t="s">
        <v>316</v>
      </c>
      <c r="B23" s="332" t="s">
        <v>318</v>
      </c>
      <c r="C23" s="335" t="s">
        <v>24</v>
      </c>
      <c r="D23" s="355" t="s">
        <v>96</v>
      </c>
      <c r="E23" s="338">
        <v>0.0</v>
      </c>
      <c r="F23" s="338">
        <v>0.0</v>
      </c>
      <c r="G23" s="338">
        <v>0.0</v>
      </c>
      <c r="H23" s="338">
        <v>0.0</v>
      </c>
      <c r="I23" s="338">
        <v>763.64</v>
      </c>
      <c r="J23" s="338">
        <v>954.55</v>
      </c>
      <c r="K23" s="338">
        <v>954.55</v>
      </c>
      <c r="L23" s="338">
        <v>1145.45</v>
      </c>
      <c r="M23" s="338">
        <v>1145.45</v>
      </c>
      <c r="N23" s="338">
        <v>1145.45</v>
      </c>
      <c r="O23" s="338">
        <v>1145.45</v>
      </c>
      <c r="P23" s="338">
        <v>1145.45</v>
      </c>
      <c r="Q23" s="338">
        <v>1145.45</v>
      </c>
      <c r="R23" s="338">
        <v>1145.45</v>
      </c>
      <c r="S23" s="338">
        <v>1145.45</v>
      </c>
      <c r="T23" s="338">
        <v>1145.45</v>
      </c>
      <c r="U23" s="338">
        <v>1145.45</v>
      </c>
      <c r="V23" s="343">
        <v>1145.45</v>
      </c>
      <c r="W23" s="345">
        <f t="shared" si="3"/>
        <v>8399.99</v>
      </c>
      <c r="X23" s="347">
        <f t="shared" si="4"/>
        <v>15272.69</v>
      </c>
      <c r="Y23" s="350"/>
      <c r="Z23" s="377">
        <f>X21-X22</f>
        <v>30129.85</v>
      </c>
      <c r="AA23" s="338"/>
    </row>
    <row r="24">
      <c r="A24" s="379" t="s">
        <v>316</v>
      </c>
      <c r="B24" s="381" t="s">
        <v>318</v>
      </c>
      <c r="C24" s="387" t="s">
        <v>24</v>
      </c>
      <c r="D24" s="391" t="s">
        <v>121</v>
      </c>
      <c r="E24" s="394">
        <v>0.0</v>
      </c>
      <c r="F24" s="394">
        <v>0.0</v>
      </c>
      <c r="G24" s="394">
        <v>0.0</v>
      </c>
      <c r="H24" s="394">
        <v>0.0</v>
      </c>
      <c r="I24" s="394">
        <v>3361.04</v>
      </c>
      <c r="J24" s="394">
        <v>4201.3</v>
      </c>
      <c r="K24" s="394">
        <v>4201.3</v>
      </c>
      <c r="L24" s="394">
        <v>5041.56</v>
      </c>
      <c r="M24" s="394">
        <v>5041.56</v>
      </c>
      <c r="N24" s="394">
        <v>5041.56</v>
      </c>
      <c r="O24" s="394">
        <v>5041.56</v>
      </c>
      <c r="P24" s="394">
        <v>5041.56</v>
      </c>
      <c r="Q24" s="394">
        <v>5041.56</v>
      </c>
      <c r="R24" s="394">
        <v>5041.56</v>
      </c>
      <c r="S24" s="394">
        <v>5041.56</v>
      </c>
      <c r="T24" s="394">
        <v>5041.56</v>
      </c>
      <c r="U24" s="394">
        <v>5041.56</v>
      </c>
      <c r="V24" s="400">
        <v>5041.56</v>
      </c>
      <c r="W24" s="402">
        <f t="shared" si="3"/>
        <v>36971.44</v>
      </c>
      <c r="X24" s="403">
        <f t="shared" si="4"/>
        <v>67220.8</v>
      </c>
      <c r="Y24" s="405"/>
      <c r="Z24" s="394"/>
      <c r="AA24" s="394"/>
    </row>
    <row r="25">
      <c r="A25" s="407" t="s">
        <v>341</v>
      </c>
      <c r="B25" s="408" t="s">
        <v>345</v>
      </c>
      <c r="C25" s="408" t="s">
        <v>21</v>
      </c>
      <c r="D25" s="411" t="s">
        <v>346</v>
      </c>
      <c r="E25" s="412"/>
      <c r="F25" s="415">
        <v>2250.0</v>
      </c>
      <c r="G25" s="412"/>
      <c r="H25" s="415">
        <v>2250.0</v>
      </c>
      <c r="I25" s="412"/>
      <c r="J25" s="415">
        <v>2250.0</v>
      </c>
      <c r="K25" s="412"/>
      <c r="L25" s="412"/>
      <c r="M25" s="415">
        <v>2250.0</v>
      </c>
      <c r="N25" s="412"/>
      <c r="O25" s="412"/>
      <c r="P25" s="412"/>
      <c r="Q25" s="415">
        <v>2250.0</v>
      </c>
      <c r="R25" s="412"/>
      <c r="S25" s="412"/>
      <c r="T25" s="412"/>
      <c r="U25" s="415">
        <v>2250.0</v>
      </c>
      <c r="V25" s="412"/>
      <c r="W25" s="421">
        <f t="shared" si="3"/>
        <v>9000</v>
      </c>
      <c r="X25" s="423">
        <f t="shared" si="4"/>
        <v>13500</v>
      </c>
      <c r="Y25" s="412"/>
      <c r="Z25" s="412"/>
      <c r="AA25" s="425"/>
    </row>
    <row r="26">
      <c r="W26" s="427"/>
      <c r="X26" s="427"/>
    </row>
    <row r="27">
      <c r="D27" s="430" t="s">
        <v>121</v>
      </c>
      <c r="E27" s="433">
        <f t="shared" ref="E27:V27" si="5">E9+E14+E19+E24+E25</f>
        <v>3361.04</v>
      </c>
      <c r="F27" s="434">
        <f t="shared" si="5"/>
        <v>11864.6</v>
      </c>
      <c r="G27" s="434">
        <f t="shared" si="5"/>
        <v>9614.6</v>
      </c>
      <c r="H27" s="434">
        <f t="shared" si="5"/>
        <v>15694.16</v>
      </c>
      <c r="I27" s="434">
        <f t="shared" si="5"/>
        <v>16805.2</v>
      </c>
      <c r="J27" s="434">
        <f t="shared" si="5"/>
        <v>22416.24</v>
      </c>
      <c r="K27" s="434">
        <f t="shared" si="5"/>
        <v>20166.24</v>
      </c>
      <c r="L27" s="434">
        <f t="shared" si="5"/>
        <v>21006.5</v>
      </c>
      <c r="M27" s="434">
        <f t="shared" si="5"/>
        <v>23256.5</v>
      </c>
      <c r="N27" s="434">
        <f t="shared" si="5"/>
        <v>21006.5</v>
      </c>
      <c r="O27" s="434">
        <f t="shared" si="5"/>
        <v>21006.5</v>
      </c>
      <c r="P27" s="434">
        <f t="shared" si="5"/>
        <v>21006.5</v>
      </c>
      <c r="Q27" s="434">
        <f t="shared" si="5"/>
        <v>23256.5</v>
      </c>
      <c r="R27" s="434">
        <f t="shared" si="5"/>
        <v>21006.5</v>
      </c>
      <c r="S27" s="434">
        <f t="shared" si="5"/>
        <v>21006.5</v>
      </c>
      <c r="T27" s="434">
        <f t="shared" si="5"/>
        <v>21006.5</v>
      </c>
      <c r="U27" s="434">
        <f t="shared" si="5"/>
        <v>23256.5</v>
      </c>
      <c r="V27" s="445">
        <f t="shared" si="5"/>
        <v>21006.5</v>
      </c>
      <c r="W27" s="448">
        <f>SUM(E27:P27)</f>
        <v>207204.58</v>
      </c>
      <c r="X27" s="452">
        <f>SUM(E27:V27)</f>
        <v>337743.58</v>
      </c>
      <c r="Z27" s="458">
        <f>Z23+Z19+Z14+Z9</f>
        <v>57975.35</v>
      </c>
    </row>
    <row r="28">
      <c r="A28" s="460" t="s">
        <v>375</v>
      </c>
      <c r="B28" s="462">
        <v>350000.0</v>
      </c>
      <c r="C28" s="462"/>
      <c r="E28" s="466">
        <f>B28-E27</f>
        <v>346638.96</v>
      </c>
      <c r="F28" s="466">
        <f t="shared" ref="F28:V28" si="6">E28-F27</f>
        <v>334774.36</v>
      </c>
      <c r="G28" s="466">
        <f t="shared" si="6"/>
        <v>325159.76</v>
      </c>
      <c r="H28" s="466">
        <f t="shared" si="6"/>
        <v>309465.6</v>
      </c>
      <c r="I28" s="466">
        <f t="shared" si="6"/>
        <v>292660.4</v>
      </c>
      <c r="J28" s="466">
        <f t="shared" si="6"/>
        <v>270244.16</v>
      </c>
      <c r="K28" s="466">
        <f t="shared" si="6"/>
        <v>250077.92</v>
      </c>
      <c r="L28" s="466">
        <f t="shared" si="6"/>
        <v>229071.42</v>
      </c>
      <c r="M28" s="466">
        <f t="shared" si="6"/>
        <v>205814.92</v>
      </c>
      <c r="N28" s="466">
        <f t="shared" si="6"/>
        <v>184808.42</v>
      </c>
      <c r="O28" s="466">
        <f t="shared" si="6"/>
        <v>163801.92</v>
      </c>
      <c r="P28" s="466">
        <f t="shared" si="6"/>
        <v>142795.42</v>
      </c>
      <c r="Q28" s="466">
        <f t="shared" si="6"/>
        <v>119538.92</v>
      </c>
      <c r="R28" s="466">
        <f t="shared" si="6"/>
        <v>98532.42</v>
      </c>
      <c r="S28" s="466">
        <f t="shared" si="6"/>
        <v>77525.92</v>
      </c>
      <c r="T28" s="466">
        <f t="shared" si="6"/>
        <v>56519.42</v>
      </c>
      <c r="U28" s="466">
        <f t="shared" si="6"/>
        <v>33262.92</v>
      </c>
      <c r="V28" s="466">
        <f t="shared" si="6"/>
        <v>12256.42</v>
      </c>
      <c r="W28" s="479">
        <f>P28</f>
        <v>142795.42</v>
      </c>
      <c r="X28" s="481">
        <f>V28+Z27</f>
        <v>70231.77</v>
      </c>
    </row>
    <row r="29">
      <c r="D29" s="12"/>
      <c r="E29" s="14"/>
      <c r="F29" s="14"/>
      <c r="G29" s="14"/>
      <c r="H29" s="14"/>
      <c r="I29" s="14"/>
      <c r="J29" s="14"/>
      <c r="K29" s="14"/>
      <c r="L29" s="14"/>
      <c r="M29" s="14"/>
      <c r="N29" s="14"/>
      <c r="O29" s="14"/>
      <c r="P29" s="14"/>
      <c r="Q29" s="14"/>
      <c r="R29" s="14"/>
      <c r="S29" s="12"/>
      <c r="W29" s="483" t="s">
        <v>396</v>
      </c>
      <c r="X29" s="485" t="s">
        <v>397</v>
      </c>
    </row>
    <row r="30">
      <c r="A30" s="2" t="s">
        <v>398</v>
      </c>
      <c r="B30" s="4"/>
      <c r="C30" s="4"/>
      <c r="D30" s="4"/>
      <c r="E30" s="4"/>
      <c r="F30" s="4"/>
      <c r="G30" s="4"/>
      <c r="H30" s="4"/>
      <c r="I30" s="4"/>
      <c r="J30" s="4"/>
      <c r="K30" s="4"/>
      <c r="L30" s="4"/>
      <c r="M30" s="4"/>
      <c r="N30" s="4"/>
      <c r="O30" s="4"/>
      <c r="P30" s="4"/>
      <c r="Q30" s="4"/>
      <c r="R30" s="4"/>
      <c r="S30" s="4"/>
      <c r="T30" s="4"/>
      <c r="U30" s="4"/>
      <c r="V30" s="4"/>
      <c r="W30" s="4"/>
      <c r="X30" s="4"/>
      <c r="Y30" s="4"/>
      <c r="Z30" s="4"/>
    </row>
    <row r="31">
      <c r="A31" s="10" t="s">
        <v>407</v>
      </c>
      <c r="D31" s="12"/>
      <c r="E31" s="14"/>
      <c r="F31" s="14"/>
      <c r="G31" s="14"/>
      <c r="H31" s="14"/>
      <c r="I31" s="14"/>
      <c r="J31" s="14"/>
      <c r="K31" s="17"/>
      <c r="L31" s="18"/>
      <c r="M31" s="14"/>
      <c r="N31" s="14"/>
      <c r="O31" s="14"/>
      <c r="P31" s="14"/>
      <c r="Q31" s="14"/>
      <c r="R31" s="14"/>
      <c r="S31" s="12"/>
      <c r="W31" s="21"/>
      <c r="X31" s="24"/>
    </row>
    <row r="32">
      <c r="A32" s="10"/>
      <c r="D32" s="12"/>
      <c r="E32" s="14"/>
      <c r="F32" s="14"/>
      <c r="G32" s="14"/>
      <c r="H32" s="14"/>
      <c r="I32" s="14"/>
      <c r="J32" s="14"/>
      <c r="K32" s="14"/>
      <c r="L32" s="14"/>
      <c r="M32" s="14"/>
      <c r="N32" s="14"/>
      <c r="O32" s="14"/>
      <c r="P32" s="14"/>
      <c r="Q32" s="14"/>
      <c r="R32" s="14"/>
      <c r="S32" s="12"/>
      <c r="W32" s="21"/>
      <c r="X32" s="24"/>
    </row>
    <row r="33">
      <c r="E33" s="488" t="s">
        <v>419</v>
      </c>
      <c r="F33" s="489" t="s">
        <v>424</v>
      </c>
      <c r="G33" s="491" t="s">
        <v>426</v>
      </c>
      <c r="H33" s="489" t="s">
        <v>424</v>
      </c>
      <c r="I33" s="491" t="s">
        <v>427</v>
      </c>
      <c r="J33" s="489" t="s">
        <v>424</v>
      </c>
      <c r="K33" s="491" t="s">
        <v>429</v>
      </c>
      <c r="L33" s="489" t="s">
        <v>424</v>
      </c>
      <c r="M33" s="491" t="s">
        <v>431</v>
      </c>
      <c r="N33" s="489" t="s">
        <v>424</v>
      </c>
      <c r="O33" s="491" t="s">
        <v>432</v>
      </c>
      <c r="P33" s="489" t="s">
        <v>424</v>
      </c>
      <c r="Q33" s="491" t="s">
        <v>433</v>
      </c>
      <c r="R33" s="493" t="s">
        <v>424</v>
      </c>
      <c r="W33" s="427"/>
      <c r="X33" s="427"/>
    </row>
    <row r="34">
      <c r="A34" s="495" t="s">
        <v>44</v>
      </c>
      <c r="B34" s="497" t="s">
        <v>437</v>
      </c>
      <c r="C34" s="499"/>
      <c r="D34" s="500" t="s">
        <v>440</v>
      </c>
      <c r="E34" s="505">
        <v>0.25</v>
      </c>
      <c r="F34" s="507">
        <v>0.75</v>
      </c>
      <c r="G34" s="505">
        <v>0.5</v>
      </c>
      <c r="H34" s="507">
        <v>0.5</v>
      </c>
      <c r="I34" s="505">
        <v>0.75</v>
      </c>
      <c r="J34" s="507">
        <v>0.25</v>
      </c>
      <c r="K34" s="505">
        <v>1.0</v>
      </c>
      <c r="L34" s="507">
        <v>0.0</v>
      </c>
      <c r="M34" s="505">
        <v>1.0</v>
      </c>
      <c r="N34" s="507">
        <v>0.0</v>
      </c>
      <c r="O34" s="505">
        <v>1.0</v>
      </c>
      <c r="P34" s="507">
        <v>0.0</v>
      </c>
      <c r="Q34" s="505">
        <v>1.0</v>
      </c>
      <c r="R34" s="507">
        <v>0.0</v>
      </c>
      <c r="W34" s="427"/>
      <c r="X34" s="427"/>
    </row>
    <row r="35">
      <c r="A35" s="511"/>
      <c r="B35" s="513" t="s">
        <v>456</v>
      </c>
      <c r="C35" s="514"/>
      <c r="D35" s="516" t="s">
        <v>458</v>
      </c>
      <c r="E35" s="519">
        <v>1000000.0</v>
      </c>
      <c r="F35" s="521">
        <v>3000000.0</v>
      </c>
      <c r="G35" s="519">
        <v>2000000.0</v>
      </c>
      <c r="H35" s="521">
        <v>2000000.0</v>
      </c>
      <c r="I35" s="519">
        <v>3000000.0</v>
      </c>
      <c r="J35" s="521">
        <v>1000000.0</v>
      </c>
      <c r="K35" s="519">
        <v>4000000.0</v>
      </c>
      <c r="L35" s="525">
        <v>0.0</v>
      </c>
      <c r="M35" s="519">
        <v>4000000.0</v>
      </c>
      <c r="N35" s="525">
        <v>0.0</v>
      </c>
      <c r="O35" s="519">
        <v>4000000.0</v>
      </c>
      <c r="P35" s="525">
        <v>0.0</v>
      </c>
      <c r="Q35" s="519">
        <v>4000000.0</v>
      </c>
      <c r="R35" s="525">
        <v>0.0</v>
      </c>
      <c r="W35" s="427"/>
      <c r="X35" s="427"/>
    </row>
    <row r="36">
      <c r="A36" s="528" t="s">
        <v>160</v>
      </c>
      <c r="B36" s="530" t="s">
        <v>465</v>
      </c>
      <c r="C36" s="531"/>
      <c r="D36" s="532" t="s">
        <v>440</v>
      </c>
      <c r="E36" s="534" t="s">
        <v>468</v>
      </c>
      <c r="F36" s="536">
        <v>1.0</v>
      </c>
      <c r="G36" s="538">
        <v>0.05</v>
      </c>
      <c r="H36" s="536">
        <v>0.95</v>
      </c>
      <c r="I36" s="541">
        <v>0.1</v>
      </c>
      <c r="J36" s="543">
        <v>0.85</v>
      </c>
      <c r="K36" s="546">
        <v>0.15</v>
      </c>
      <c r="L36" s="549">
        <v>0.7</v>
      </c>
      <c r="M36" s="546">
        <v>0.2</v>
      </c>
      <c r="N36" s="536">
        <v>0.5</v>
      </c>
      <c r="O36" s="538">
        <v>0.25</v>
      </c>
      <c r="P36" s="536">
        <v>0.25</v>
      </c>
      <c r="Q36" s="538">
        <v>0.25</v>
      </c>
      <c r="R36" s="536">
        <v>0.0</v>
      </c>
      <c r="W36" s="427"/>
      <c r="X36" s="427"/>
    </row>
    <row r="37">
      <c r="A37" s="553"/>
      <c r="B37" s="555" t="s">
        <v>472</v>
      </c>
      <c r="C37" s="557"/>
      <c r="D37" s="559" t="s">
        <v>458</v>
      </c>
      <c r="E37" s="561">
        <v>0.0</v>
      </c>
      <c r="F37" s="563">
        <v>1500000.0</v>
      </c>
      <c r="G37" s="569">
        <v>75000.0</v>
      </c>
      <c r="H37" s="563">
        <v>1425000.0</v>
      </c>
      <c r="I37" s="569">
        <v>225000.0</v>
      </c>
      <c r="J37" s="563">
        <v>1275000.0</v>
      </c>
      <c r="K37" s="569">
        <v>450000.0</v>
      </c>
      <c r="L37" s="563">
        <v>1050000.0</v>
      </c>
      <c r="M37" s="569">
        <v>750000.0</v>
      </c>
      <c r="N37" s="563">
        <v>750000.0</v>
      </c>
      <c r="O37" s="569">
        <v>1125000.0</v>
      </c>
      <c r="P37" s="563">
        <v>375000.0</v>
      </c>
      <c r="Q37" s="569">
        <v>1500000.0</v>
      </c>
      <c r="R37" s="573">
        <v>0.0</v>
      </c>
      <c r="W37" s="427"/>
      <c r="X37" s="427"/>
    </row>
    <row r="38">
      <c r="A38" s="574" t="s">
        <v>246</v>
      </c>
      <c r="B38" s="577" t="s">
        <v>484</v>
      </c>
      <c r="C38" s="578"/>
      <c r="D38" s="582" t="s">
        <v>440</v>
      </c>
      <c r="E38" s="584" t="s">
        <v>468</v>
      </c>
      <c r="F38" s="587">
        <v>1.0</v>
      </c>
      <c r="G38" s="589">
        <v>0.05</v>
      </c>
      <c r="H38" s="591">
        <v>0.95</v>
      </c>
      <c r="I38" s="594">
        <v>0.1</v>
      </c>
      <c r="J38" s="597">
        <v>0.85</v>
      </c>
      <c r="K38" s="594">
        <v>0.15</v>
      </c>
      <c r="L38" s="597">
        <v>0.7</v>
      </c>
      <c r="M38" s="594">
        <v>0.2</v>
      </c>
      <c r="N38" s="591">
        <v>0.5</v>
      </c>
      <c r="O38" s="589">
        <v>0.25</v>
      </c>
      <c r="P38" s="591">
        <v>0.25</v>
      </c>
      <c r="Q38" s="589">
        <v>0.25</v>
      </c>
      <c r="R38" s="591">
        <v>0.0</v>
      </c>
      <c r="W38" s="427"/>
      <c r="X38" s="427"/>
    </row>
    <row r="39">
      <c r="A39" s="600"/>
      <c r="B39" s="601" t="s">
        <v>503</v>
      </c>
      <c r="C39" s="603"/>
      <c r="D39" s="604" t="s">
        <v>506</v>
      </c>
      <c r="E39" s="606">
        <v>0.0</v>
      </c>
      <c r="F39" s="607">
        <v>500000.0</v>
      </c>
      <c r="G39" s="608">
        <v>25000.0</v>
      </c>
      <c r="H39" s="607">
        <v>475000.0</v>
      </c>
      <c r="I39" s="608">
        <v>75000.0</v>
      </c>
      <c r="J39" s="607">
        <v>425000.0</v>
      </c>
      <c r="K39" s="608">
        <v>150000.0</v>
      </c>
      <c r="L39" s="607">
        <v>350000.0</v>
      </c>
      <c r="M39" s="608">
        <v>250000.0</v>
      </c>
      <c r="N39" s="607">
        <v>250000.0</v>
      </c>
      <c r="O39" s="608">
        <v>375000.0</v>
      </c>
      <c r="P39" s="607">
        <v>125000.0</v>
      </c>
      <c r="Q39" s="608">
        <v>500000.0</v>
      </c>
      <c r="R39" s="609">
        <v>0.0</v>
      </c>
      <c r="W39" s="427"/>
      <c r="X39" s="427"/>
    </row>
    <row r="40">
      <c r="A40" s="379" t="s">
        <v>316</v>
      </c>
      <c r="B40" s="613" t="s">
        <v>516</v>
      </c>
      <c r="C40" s="614"/>
      <c r="D40" s="616" t="s">
        <v>440</v>
      </c>
      <c r="E40" s="617" t="s">
        <v>468</v>
      </c>
      <c r="F40" s="618">
        <v>1.0</v>
      </c>
      <c r="G40" s="619">
        <v>0.05</v>
      </c>
      <c r="H40" s="621">
        <v>0.95</v>
      </c>
      <c r="I40" s="623">
        <v>0.1</v>
      </c>
      <c r="J40" s="624">
        <v>0.85</v>
      </c>
      <c r="K40" s="623">
        <v>0.15</v>
      </c>
      <c r="L40" s="624">
        <v>0.7</v>
      </c>
      <c r="M40" s="623">
        <v>0.2</v>
      </c>
      <c r="N40" s="621">
        <v>0.5</v>
      </c>
      <c r="O40" s="619">
        <v>0.25</v>
      </c>
      <c r="P40" s="621">
        <v>0.25</v>
      </c>
      <c r="Q40" s="619">
        <v>0.25</v>
      </c>
      <c r="R40" s="621">
        <v>0.0</v>
      </c>
      <c r="W40" s="427"/>
      <c r="X40" s="427"/>
    </row>
    <row r="41">
      <c r="A41" s="626"/>
      <c r="B41" s="627" t="s">
        <v>528</v>
      </c>
      <c r="C41" s="630"/>
      <c r="D41" s="632" t="s">
        <v>458</v>
      </c>
      <c r="E41" s="634">
        <v>0.0</v>
      </c>
      <c r="F41" s="636">
        <v>1000000.0</v>
      </c>
      <c r="G41" s="638">
        <v>50000.0</v>
      </c>
      <c r="H41" s="636">
        <v>950000.0</v>
      </c>
      <c r="I41" s="638">
        <v>150000.0</v>
      </c>
      <c r="J41" s="636">
        <v>850000.0</v>
      </c>
      <c r="K41" s="638">
        <v>300000.0</v>
      </c>
      <c r="L41" s="636">
        <v>700000.0</v>
      </c>
      <c r="M41" s="638">
        <v>500000.0</v>
      </c>
      <c r="N41" s="636">
        <v>500000.0</v>
      </c>
      <c r="O41" s="638">
        <v>750000.0</v>
      </c>
      <c r="P41" s="636">
        <v>250000.0</v>
      </c>
      <c r="Q41" s="638">
        <v>1000000.0</v>
      </c>
      <c r="R41" s="640">
        <v>0.0</v>
      </c>
      <c r="W41" s="427"/>
      <c r="X41" s="427"/>
    </row>
    <row r="42">
      <c r="A42" s="641" t="s">
        <v>538</v>
      </c>
      <c r="B42" s="642" t="s">
        <v>539</v>
      </c>
      <c r="C42" s="642"/>
      <c r="D42" s="644" t="s">
        <v>542</v>
      </c>
      <c r="E42" s="645"/>
      <c r="F42" s="647"/>
      <c r="G42" s="648"/>
      <c r="W42" s="427"/>
      <c r="X42" s="427"/>
    </row>
    <row r="43">
      <c r="A43" s="649"/>
      <c r="B43" s="651" t="s">
        <v>545</v>
      </c>
      <c r="C43" s="651"/>
      <c r="D43" s="653" t="s">
        <v>546</v>
      </c>
      <c r="E43" s="655"/>
      <c r="F43" s="648"/>
      <c r="G43" s="12"/>
      <c r="L43" s="657"/>
      <c r="W43" s="427"/>
      <c r="X43" s="427"/>
    </row>
    <row r="44">
      <c r="A44" s="659"/>
      <c r="B44" s="662" t="s">
        <v>550</v>
      </c>
      <c r="C44" s="662"/>
      <c r="D44" s="664"/>
      <c r="E44" s="659"/>
      <c r="W44" s="427"/>
      <c r="X44" s="427"/>
    </row>
    <row r="45">
      <c r="L45" s="657"/>
      <c r="W45" s="427"/>
      <c r="X45" s="427"/>
    </row>
    <row r="46">
      <c r="A46" s="18"/>
      <c r="W46" s="427"/>
      <c r="X46" s="427"/>
    </row>
    <row r="47">
      <c r="A47" s="666" t="s">
        <v>553</v>
      </c>
      <c r="B47" s="668"/>
      <c r="C47" s="670"/>
      <c r="D47" s="666" t="s">
        <v>555</v>
      </c>
      <c r="E47" s="668"/>
      <c r="F47" s="668"/>
      <c r="G47" s="668"/>
      <c r="H47" s="672"/>
      <c r="I47" s="672"/>
      <c r="J47" s="672"/>
      <c r="L47" s="657" t="s">
        <v>556</v>
      </c>
      <c r="W47" s="427"/>
      <c r="X47" s="427"/>
    </row>
    <row r="48">
      <c r="A48" s="675" t="s">
        <v>19</v>
      </c>
      <c r="B48" s="677" t="s">
        <v>89</v>
      </c>
      <c r="C48" s="678"/>
      <c r="D48" s="679" t="s">
        <v>559</v>
      </c>
      <c r="E48" s="681" t="s">
        <v>268</v>
      </c>
      <c r="F48" s="681" t="s">
        <v>17</v>
      </c>
      <c r="G48" s="681" t="s">
        <v>562</v>
      </c>
      <c r="H48" s="683" t="s">
        <v>563</v>
      </c>
      <c r="I48" s="683" t="s">
        <v>564</v>
      </c>
      <c r="J48" s="685" t="s">
        <v>565</v>
      </c>
      <c r="L48" s="686" t="s">
        <v>566</v>
      </c>
      <c r="M48" s="687"/>
      <c r="N48" s="687"/>
      <c r="O48" s="687"/>
      <c r="P48" s="687"/>
      <c r="Q48" s="687"/>
      <c r="R48" s="687"/>
      <c r="S48" s="687"/>
      <c r="T48" s="687"/>
      <c r="U48" s="687"/>
      <c r="W48" s="427"/>
      <c r="X48" s="427"/>
    </row>
    <row r="49">
      <c r="A49" s="688" t="s">
        <v>567</v>
      </c>
      <c r="B49" s="692">
        <f>$W$6+$W$11+$W$16+$W$21</f>
        <v>151298.62</v>
      </c>
      <c r="C49" s="678"/>
      <c r="D49" s="688" t="s">
        <v>44</v>
      </c>
      <c r="E49" s="694" t="s">
        <v>46</v>
      </c>
      <c r="F49" s="696" t="s">
        <v>20</v>
      </c>
      <c r="G49" s="699">
        <f>$V$6</f>
        <v>3896.1</v>
      </c>
      <c r="H49" s="701">
        <f>$V$9</f>
        <v>5041.56</v>
      </c>
      <c r="I49" s="701">
        <f>$W$9</f>
        <v>58818.2</v>
      </c>
      <c r="J49" s="705">
        <f>$X$9</f>
        <v>89067.56</v>
      </c>
      <c r="L49" s="686" t="s">
        <v>575</v>
      </c>
      <c r="M49" s="687"/>
      <c r="N49" s="687"/>
      <c r="O49" s="687"/>
      <c r="P49" s="687"/>
      <c r="Q49" s="687"/>
      <c r="R49" s="687"/>
      <c r="S49" s="687"/>
      <c r="T49" s="687"/>
      <c r="U49" s="687"/>
      <c r="W49" s="427"/>
      <c r="X49" s="427"/>
    </row>
    <row r="50">
      <c r="A50" s="688" t="s">
        <v>577</v>
      </c>
      <c r="B50" s="692">
        <f>$X$6+$X$11+$X$16+$X$21</f>
        <v>248701.18</v>
      </c>
      <c r="C50" s="678"/>
      <c r="D50" s="688" t="s">
        <v>160</v>
      </c>
      <c r="E50" s="694" t="s">
        <v>162</v>
      </c>
      <c r="F50" s="696" t="s">
        <v>21</v>
      </c>
      <c r="G50" s="699">
        <f>$V$11</f>
        <v>5194.81</v>
      </c>
      <c r="H50" s="701">
        <f>$V$14</f>
        <v>6722.08</v>
      </c>
      <c r="I50" s="701">
        <f>$W$14</f>
        <v>63859.76</v>
      </c>
      <c r="J50" s="705">
        <f>$X$14</f>
        <v>104192.24</v>
      </c>
      <c r="L50" s="686" t="s">
        <v>588</v>
      </c>
      <c r="M50" s="687"/>
      <c r="N50" s="687"/>
      <c r="O50" s="687"/>
      <c r="P50" s="687"/>
      <c r="Q50" s="687"/>
      <c r="R50" s="687"/>
      <c r="S50" s="687"/>
      <c r="T50" s="687"/>
      <c r="U50" s="687"/>
      <c r="W50" s="427"/>
      <c r="X50" s="427"/>
    </row>
    <row r="51">
      <c r="A51" s="688" t="s">
        <v>591</v>
      </c>
      <c r="B51" s="692">
        <f>B50/18</f>
        <v>13816.73222</v>
      </c>
      <c r="C51" s="678"/>
      <c r="D51" s="688" t="s">
        <v>246</v>
      </c>
      <c r="E51" s="694" t="s">
        <v>248</v>
      </c>
      <c r="F51" s="696" t="s">
        <v>21</v>
      </c>
      <c r="G51" s="699">
        <f>$V$16</f>
        <v>3246.75</v>
      </c>
      <c r="H51" s="701">
        <f>$V$19</f>
        <v>4201.3</v>
      </c>
      <c r="I51" s="701">
        <f>$W$19</f>
        <v>38555.18</v>
      </c>
      <c r="J51" s="705">
        <f>$X$19</f>
        <v>63762.98</v>
      </c>
      <c r="L51" s="686" t="s">
        <v>606</v>
      </c>
      <c r="M51" s="687"/>
      <c r="N51" s="687"/>
      <c r="O51" s="687"/>
      <c r="P51" s="687"/>
      <c r="Q51" s="687"/>
      <c r="R51" s="687"/>
      <c r="S51" s="687"/>
      <c r="T51" s="687"/>
      <c r="U51" s="687"/>
      <c r="W51" s="427"/>
      <c r="X51" s="427"/>
    </row>
    <row r="52">
      <c r="A52" s="688" t="s">
        <v>607</v>
      </c>
      <c r="B52" s="744">
        <f>((19-VALUE(SUBSTITUTE($C$5,"M","")))+(19-VALUE(SUBSTITUTE($C$10,"M","")))+(19-VALUE(SUBSTITUTE($C$15,"M","")))+(19-VALUE(SUBSTITUTE($C$20,"M","")))+(19-VALUE(SUBSTITUTE($C$25,"M",""))))/18</f>
        <v>4.611111111</v>
      </c>
      <c r="C52" s="678"/>
      <c r="D52" s="688" t="s">
        <v>316</v>
      </c>
      <c r="E52" s="694" t="s">
        <v>318</v>
      </c>
      <c r="F52" s="696" t="s">
        <v>24</v>
      </c>
      <c r="G52" s="699">
        <f>$V$21</f>
        <v>3896.1</v>
      </c>
      <c r="H52" s="701">
        <f>$V$24</f>
        <v>5041.56</v>
      </c>
      <c r="I52" s="701">
        <f>$W$24</f>
        <v>36971.44</v>
      </c>
      <c r="J52" s="705">
        <f>$X$24</f>
        <v>67220.8</v>
      </c>
      <c r="L52" s="686" t="s">
        <v>616</v>
      </c>
      <c r="M52" s="687"/>
      <c r="N52" s="687"/>
      <c r="O52" s="687"/>
      <c r="P52" s="687"/>
      <c r="Q52" s="687"/>
      <c r="R52" s="687"/>
      <c r="S52" s="687"/>
      <c r="T52" s="687"/>
      <c r="U52" s="687"/>
      <c r="W52" s="427"/>
      <c r="X52" s="427"/>
    </row>
    <row r="53">
      <c r="A53" s="757" t="s">
        <v>619</v>
      </c>
      <c r="B53" s="761">
        <f>$X$27</f>
        <v>337743.58</v>
      </c>
      <c r="C53" s="678"/>
      <c r="D53" s="757" t="s">
        <v>341</v>
      </c>
      <c r="E53" s="763" t="s">
        <v>345</v>
      </c>
      <c r="F53" s="765" t="s">
        <v>21</v>
      </c>
      <c r="G53" s="766"/>
      <c r="H53" s="770">
        <f>AVERAGEIF($E$25:$V$25,"&gt;0")</f>
        <v>2250</v>
      </c>
      <c r="I53" s="770">
        <f>$W$25</f>
        <v>9000</v>
      </c>
      <c r="J53" s="775">
        <f>$X$25</f>
        <v>13500</v>
      </c>
      <c r="L53" s="686" t="s">
        <v>626</v>
      </c>
      <c r="M53" s="687"/>
      <c r="N53" s="687"/>
      <c r="O53" s="687"/>
      <c r="P53" s="687"/>
      <c r="Q53" s="687"/>
      <c r="R53" s="687"/>
      <c r="S53" s="687"/>
      <c r="T53" s="687"/>
      <c r="U53" s="687"/>
      <c r="W53" s="427"/>
      <c r="X53" s="427"/>
    </row>
    <row r="54">
      <c r="L54" s="659"/>
      <c r="W54" s="427"/>
      <c r="X54" s="427"/>
    </row>
    <row r="55">
      <c r="W55" s="427"/>
      <c r="X55" s="427"/>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75" outlineLevelRow="1"/>
  <cols>
    <col customWidth="1" min="1" max="1" width="24.0"/>
    <col customWidth="1" min="2" max="2" width="46.0"/>
    <col customWidth="1" min="3" max="3" width="13.0"/>
    <col customWidth="1" min="4" max="21" width="12.0"/>
    <col customWidth="1" min="22" max="23" width="14.0"/>
    <col customWidth="1" min="24" max="24" width="12.29"/>
    <col customWidth="1" min="25" max="25" width="12.0"/>
    <col customWidth="1" min="26" max="26" width="7.0"/>
    <col customWidth="1" min="27" max="27" width="93.57"/>
    <col customWidth="1" min="28" max="28" width="24.43"/>
    <col customWidth="1" min="29" max="29" width="30.14"/>
    <col customWidth="1" min="30" max="30" width="61.57"/>
  </cols>
  <sheetData>
    <row r="1" ht="27.75" customHeight="1">
      <c r="A1" s="5" t="s">
        <v>3</v>
      </c>
      <c r="B1" s="4"/>
      <c r="C1" s="4"/>
      <c r="D1" s="4"/>
      <c r="E1" s="4"/>
      <c r="F1" s="4"/>
      <c r="G1" s="4"/>
      <c r="H1" s="4"/>
      <c r="I1" s="4"/>
      <c r="J1" s="4"/>
      <c r="K1" s="4"/>
      <c r="L1" s="4"/>
      <c r="M1" s="4"/>
      <c r="N1" s="4"/>
      <c r="O1" s="4"/>
      <c r="P1" s="4"/>
      <c r="Q1" s="4"/>
      <c r="R1" s="4"/>
      <c r="S1" s="4"/>
      <c r="T1" s="4"/>
      <c r="U1" s="4"/>
      <c r="V1" s="4"/>
      <c r="W1" s="4"/>
      <c r="X1" s="4"/>
      <c r="Y1" s="4"/>
      <c r="Z1" s="4"/>
      <c r="AA1" s="15"/>
      <c r="AB1" s="19"/>
      <c r="AC1" s="19"/>
      <c r="AD1" s="19"/>
    </row>
    <row r="2" ht="18.0" customHeight="1">
      <c r="A2" s="23"/>
      <c r="B2" s="26"/>
      <c r="C2" s="26"/>
      <c r="D2" s="26"/>
      <c r="E2" s="26"/>
      <c r="F2" s="26"/>
      <c r="G2" s="26"/>
      <c r="H2" s="26"/>
      <c r="I2" s="26"/>
      <c r="J2" s="26"/>
      <c r="K2" s="26"/>
      <c r="L2" s="26"/>
      <c r="M2" s="26"/>
      <c r="N2" s="26"/>
      <c r="O2" s="26"/>
      <c r="P2" s="26"/>
      <c r="Q2" s="26"/>
      <c r="R2" s="26"/>
      <c r="S2" s="26"/>
      <c r="T2" s="26"/>
      <c r="U2" s="26"/>
      <c r="V2" s="26"/>
      <c r="W2" s="26"/>
      <c r="X2" s="26"/>
      <c r="Y2" s="26"/>
      <c r="Z2" s="26"/>
      <c r="AA2" s="35"/>
      <c r="AB2" s="38"/>
      <c r="AC2" s="38"/>
      <c r="AD2" s="38"/>
    </row>
    <row r="3" ht="27.75" customHeight="1">
      <c r="A3" s="39" t="s">
        <v>26</v>
      </c>
      <c r="B3" s="39" t="s">
        <v>31</v>
      </c>
      <c r="C3" s="39" t="s">
        <v>34</v>
      </c>
      <c r="D3" s="39" t="s">
        <v>20</v>
      </c>
      <c r="E3" s="39" t="s">
        <v>21</v>
      </c>
      <c r="F3" s="39" t="s">
        <v>22</v>
      </c>
      <c r="G3" s="39" t="s">
        <v>23</v>
      </c>
      <c r="H3" s="39" t="s">
        <v>24</v>
      </c>
      <c r="I3" s="39" t="s">
        <v>25</v>
      </c>
      <c r="J3" s="39" t="s">
        <v>27</v>
      </c>
      <c r="K3" s="39" t="s">
        <v>28</v>
      </c>
      <c r="L3" s="39" t="s">
        <v>29</v>
      </c>
      <c r="M3" s="39" t="s">
        <v>30</v>
      </c>
      <c r="N3" s="39" t="s">
        <v>32</v>
      </c>
      <c r="O3" s="39" t="s">
        <v>33</v>
      </c>
      <c r="P3" s="39" t="s">
        <v>35</v>
      </c>
      <c r="Q3" s="39" t="s">
        <v>36</v>
      </c>
      <c r="R3" s="39" t="s">
        <v>37</v>
      </c>
      <c r="S3" s="39" t="s">
        <v>38</v>
      </c>
      <c r="T3" s="39" t="s">
        <v>39</v>
      </c>
      <c r="U3" s="39" t="s">
        <v>40</v>
      </c>
      <c r="V3" s="39" t="s">
        <v>41</v>
      </c>
      <c r="W3" s="39" t="s">
        <v>42</v>
      </c>
      <c r="X3" s="45" t="s">
        <v>47</v>
      </c>
      <c r="Y3" s="15" t="s">
        <v>48</v>
      </c>
      <c r="Z3" s="15" t="s">
        <v>49</v>
      </c>
      <c r="AA3" s="15" t="s">
        <v>51</v>
      </c>
      <c r="AB3" s="19" t="s">
        <v>52</v>
      </c>
      <c r="AC3" s="19" t="s">
        <v>53</v>
      </c>
      <c r="AD3" s="19" t="s">
        <v>54</v>
      </c>
    </row>
    <row r="4">
      <c r="A4" s="49" t="s">
        <v>55</v>
      </c>
      <c r="B4" s="52"/>
      <c r="C4" s="52"/>
      <c r="D4" s="52"/>
      <c r="E4" s="52"/>
      <c r="F4" s="52"/>
      <c r="G4" s="52"/>
      <c r="H4" s="52"/>
      <c r="I4" s="52"/>
      <c r="J4" s="52"/>
      <c r="K4" s="52"/>
      <c r="L4" s="52"/>
      <c r="M4" s="52"/>
      <c r="N4" s="52"/>
      <c r="O4" s="52"/>
      <c r="P4" s="52"/>
      <c r="Q4" s="52"/>
      <c r="R4" s="52"/>
      <c r="S4" s="52"/>
      <c r="T4" s="52"/>
      <c r="U4" s="52"/>
      <c r="V4" s="59"/>
      <c r="W4" s="60"/>
      <c r="X4" s="61"/>
      <c r="Y4" s="59"/>
      <c r="Z4" s="52"/>
      <c r="AA4" s="52"/>
      <c r="AB4" s="52"/>
      <c r="AC4" s="52"/>
      <c r="AD4" s="60"/>
    </row>
    <row r="5">
      <c r="A5" s="64" t="s">
        <v>55</v>
      </c>
      <c r="B5" s="66" t="s">
        <v>69</v>
      </c>
      <c r="C5" s="66">
        <v>1.0</v>
      </c>
      <c r="D5" s="68">
        <v>7800.0</v>
      </c>
      <c r="E5" s="66"/>
      <c r="F5" s="68"/>
      <c r="G5" s="66"/>
      <c r="H5" s="66"/>
      <c r="I5" s="66"/>
      <c r="J5" s="66"/>
      <c r="K5" s="66"/>
      <c r="L5" s="66"/>
      <c r="M5" s="66"/>
      <c r="N5" s="66"/>
      <c r="O5" s="66"/>
      <c r="P5" s="66"/>
      <c r="Q5" s="66"/>
      <c r="R5" s="66"/>
      <c r="S5" s="66"/>
      <c r="T5" s="66"/>
      <c r="U5" s="78"/>
      <c r="V5" s="88">
        <f t="shared" ref="V5:V17" si="1">SUM(D5:O5)</f>
        <v>7800</v>
      </c>
      <c r="W5" s="92">
        <f t="shared" ref="W5:W17" si="2">SUM(D5:U5)</f>
        <v>7800</v>
      </c>
      <c r="X5" s="94" t="s">
        <v>80</v>
      </c>
      <c r="Y5" s="110">
        <v>7800.0</v>
      </c>
      <c r="Z5" s="115" t="s">
        <v>93</v>
      </c>
      <c r="AA5" s="118" t="s">
        <v>99</v>
      </c>
      <c r="AB5" s="118" t="s">
        <v>101</v>
      </c>
      <c r="AC5" s="122" t="s">
        <v>104</v>
      </c>
      <c r="AD5" s="124" t="s">
        <v>107</v>
      </c>
    </row>
    <row r="6">
      <c r="A6" s="64" t="s">
        <v>55</v>
      </c>
      <c r="B6" s="66" t="s">
        <v>116</v>
      </c>
      <c r="C6" s="66">
        <v>1.0</v>
      </c>
      <c r="D6" s="68">
        <v>5300.0</v>
      </c>
      <c r="E6" s="66"/>
      <c r="F6" s="66"/>
      <c r="G6" s="66"/>
      <c r="H6" s="66"/>
      <c r="I6" s="66"/>
      <c r="J6" s="66"/>
      <c r="K6" s="66"/>
      <c r="L6" s="66"/>
      <c r="M6" s="66"/>
      <c r="N6" s="66"/>
      <c r="O6" s="66"/>
      <c r="P6" s="66"/>
      <c r="Q6" s="66"/>
      <c r="R6" s="66"/>
      <c r="S6" s="66"/>
      <c r="T6" s="66"/>
      <c r="U6" s="78"/>
      <c r="V6" s="88">
        <f t="shared" si="1"/>
        <v>5300</v>
      </c>
      <c r="W6" s="92">
        <f t="shared" si="2"/>
        <v>5300</v>
      </c>
      <c r="X6" s="94" t="s">
        <v>80</v>
      </c>
      <c r="Y6" s="110">
        <v>5300.0</v>
      </c>
      <c r="Z6" s="115" t="s">
        <v>93</v>
      </c>
      <c r="AA6" s="118" t="s">
        <v>99</v>
      </c>
      <c r="AB6" s="118" t="s">
        <v>101</v>
      </c>
      <c r="AC6" s="122" t="s">
        <v>151</v>
      </c>
      <c r="AD6" s="124" t="s">
        <v>152</v>
      </c>
    </row>
    <row r="7">
      <c r="A7" s="64" t="s">
        <v>55</v>
      </c>
      <c r="B7" s="66" t="s">
        <v>156</v>
      </c>
      <c r="C7" s="66">
        <v>1.0</v>
      </c>
      <c r="D7" s="68">
        <v>20.0</v>
      </c>
      <c r="E7" s="66"/>
      <c r="F7" s="66"/>
      <c r="G7" s="66"/>
      <c r="H7" s="66"/>
      <c r="I7" s="66"/>
      <c r="J7" s="66"/>
      <c r="K7" s="66"/>
      <c r="L7" s="66"/>
      <c r="M7" s="66"/>
      <c r="N7" s="66"/>
      <c r="O7" s="66"/>
      <c r="P7" s="66"/>
      <c r="Q7" s="66"/>
      <c r="R7" s="66"/>
      <c r="S7" s="66"/>
      <c r="T7" s="66"/>
      <c r="U7" s="78"/>
      <c r="V7" s="88">
        <f t="shared" si="1"/>
        <v>20</v>
      </c>
      <c r="W7" s="92">
        <f t="shared" si="2"/>
        <v>20</v>
      </c>
      <c r="X7" s="94" t="s">
        <v>80</v>
      </c>
      <c r="Y7" s="110">
        <v>20.0</v>
      </c>
      <c r="Z7" s="115" t="s">
        <v>93</v>
      </c>
      <c r="AA7" s="118" t="s">
        <v>172</v>
      </c>
      <c r="AB7" s="118" t="s">
        <v>101</v>
      </c>
      <c r="AC7" s="122" t="s">
        <v>173</v>
      </c>
      <c r="AD7" s="124" t="s">
        <v>174</v>
      </c>
    </row>
    <row r="8">
      <c r="A8" s="64" t="s">
        <v>55</v>
      </c>
      <c r="B8" s="66" t="s">
        <v>175</v>
      </c>
      <c r="C8" s="66">
        <v>1.0</v>
      </c>
      <c r="D8" s="68">
        <v>4999.0</v>
      </c>
      <c r="E8" s="68"/>
      <c r="F8" s="66"/>
      <c r="G8" s="66"/>
      <c r="H8" s="66"/>
      <c r="I8" s="66"/>
      <c r="J8" s="66"/>
      <c r="K8" s="66"/>
      <c r="L8" s="66"/>
      <c r="M8" s="66"/>
      <c r="N8" s="66"/>
      <c r="O8" s="66"/>
      <c r="P8" s="66"/>
      <c r="Q8" s="66"/>
      <c r="R8" s="66"/>
      <c r="S8" s="66"/>
      <c r="T8" s="66"/>
      <c r="U8" s="78"/>
      <c r="V8" s="88">
        <f t="shared" si="1"/>
        <v>4999</v>
      </c>
      <c r="W8" s="92">
        <f t="shared" si="2"/>
        <v>4999</v>
      </c>
      <c r="X8" s="94" t="s">
        <v>80</v>
      </c>
      <c r="Y8" s="110">
        <v>4999.0</v>
      </c>
      <c r="Z8" s="115" t="s">
        <v>188</v>
      </c>
      <c r="AA8" s="118" t="s">
        <v>189</v>
      </c>
      <c r="AB8" s="118" t="s">
        <v>101</v>
      </c>
      <c r="AC8" s="122" t="s">
        <v>191</v>
      </c>
      <c r="AD8" s="124" t="s">
        <v>192</v>
      </c>
    </row>
    <row r="9">
      <c r="A9" s="64" t="s">
        <v>55</v>
      </c>
      <c r="B9" s="66" t="s">
        <v>195</v>
      </c>
      <c r="C9" s="66">
        <v>1.0</v>
      </c>
      <c r="D9" s="68">
        <v>3590.0</v>
      </c>
      <c r="E9" s="68"/>
      <c r="F9" s="66"/>
      <c r="G9" s="66"/>
      <c r="H9" s="66"/>
      <c r="I9" s="66"/>
      <c r="J9" s="66"/>
      <c r="K9" s="66"/>
      <c r="L9" s="66"/>
      <c r="M9" s="66"/>
      <c r="N9" s="66"/>
      <c r="O9" s="66"/>
      <c r="P9" s="66"/>
      <c r="Q9" s="66"/>
      <c r="R9" s="66"/>
      <c r="S9" s="66"/>
      <c r="T9" s="66"/>
      <c r="U9" s="78"/>
      <c r="V9" s="88">
        <f t="shared" si="1"/>
        <v>3590</v>
      </c>
      <c r="W9" s="92">
        <f t="shared" si="2"/>
        <v>3590</v>
      </c>
      <c r="X9" s="94" t="s">
        <v>80</v>
      </c>
      <c r="Y9" s="110">
        <v>3590.0</v>
      </c>
      <c r="Z9" s="115" t="s">
        <v>208</v>
      </c>
      <c r="AA9" s="118" t="s">
        <v>209</v>
      </c>
      <c r="AB9" s="118" t="s">
        <v>101</v>
      </c>
      <c r="AC9" s="122" t="s">
        <v>210</v>
      </c>
      <c r="AD9" s="124" t="s">
        <v>211</v>
      </c>
    </row>
    <row r="10">
      <c r="A10" s="64" t="s">
        <v>55</v>
      </c>
      <c r="B10" s="66" t="s">
        <v>212</v>
      </c>
      <c r="C10" s="66">
        <v>1.0</v>
      </c>
      <c r="D10" s="68">
        <v>320.0</v>
      </c>
      <c r="E10" s="66"/>
      <c r="F10" s="68"/>
      <c r="G10" s="66"/>
      <c r="H10" s="66"/>
      <c r="I10" s="66"/>
      <c r="J10" s="66"/>
      <c r="K10" s="66"/>
      <c r="L10" s="66"/>
      <c r="M10" s="66"/>
      <c r="N10" s="66"/>
      <c r="O10" s="66"/>
      <c r="P10" s="66"/>
      <c r="Q10" s="66"/>
      <c r="R10" s="66"/>
      <c r="S10" s="66"/>
      <c r="T10" s="66"/>
      <c r="U10" s="78"/>
      <c r="V10" s="88">
        <f t="shared" si="1"/>
        <v>320</v>
      </c>
      <c r="W10" s="92">
        <f t="shared" si="2"/>
        <v>320</v>
      </c>
      <c r="X10" s="94" t="s">
        <v>80</v>
      </c>
      <c r="Y10" s="110">
        <v>320.0</v>
      </c>
      <c r="Z10" s="115" t="s">
        <v>188</v>
      </c>
      <c r="AA10" s="118" t="s">
        <v>218</v>
      </c>
      <c r="AB10" s="118" t="s">
        <v>101</v>
      </c>
      <c r="AC10" s="122" t="s">
        <v>220</v>
      </c>
      <c r="AD10" s="124" t="s">
        <v>221</v>
      </c>
    </row>
    <row r="11">
      <c r="A11" s="64" t="s">
        <v>55</v>
      </c>
      <c r="B11" s="66" t="s">
        <v>222</v>
      </c>
      <c r="C11" s="66">
        <v>1.0</v>
      </c>
      <c r="D11" s="66"/>
      <c r="E11" s="66"/>
      <c r="F11" s="66"/>
      <c r="G11" s="68">
        <v>1500.0</v>
      </c>
      <c r="H11" s="66"/>
      <c r="I11" s="66"/>
      <c r="J11" s="66"/>
      <c r="K11" s="66"/>
      <c r="L11" s="66"/>
      <c r="M11" s="66"/>
      <c r="N11" s="66"/>
      <c r="O11" s="66"/>
      <c r="P11" s="66"/>
      <c r="Q11" s="66"/>
      <c r="R11" s="66"/>
      <c r="S11" s="66"/>
      <c r="T11" s="66"/>
      <c r="U11" s="78"/>
      <c r="V11" s="88">
        <f t="shared" si="1"/>
        <v>1500</v>
      </c>
      <c r="W11" s="92">
        <f t="shared" si="2"/>
        <v>1500</v>
      </c>
      <c r="X11" s="94" t="s">
        <v>80</v>
      </c>
      <c r="Y11" s="110">
        <v>1500.0</v>
      </c>
      <c r="Z11" s="115" t="s">
        <v>208</v>
      </c>
      <c r="AA11" s="118" t="s">
        <v>231</v>
      </c>
      <c r="AB11" s="118" t="s">
        <v>232</v>
      </c>
      <c r="AC11" s="122" t="s">
        <v>233</v>
      </c>
      <c r="AD11" s="124" t="s">
        <v>234</v>
      </c>
    </row>
    <row r="12">
      <c r="A12" s="64" t="s">
        <v>55</v>
      </c>
      <c r="B12" s="66" t="s">
        <v>235</v>
      </c>
      <c r="C12" s="66">
        <v>1.0</v>
      </c>
      <c r="D12" s="68">
        <v>170.0</v>
      </c>
      <c r="E12" s="66"/>
      <c r="F12" s="66"/>
      <c r="G12" s="66"/>
      <c r="H12" s="66"/>
      <c r="I12" s="66"/>
      <c r="J12" s="66"/>
      <c r="K12" s="66"/>
      <c r="L12" s="66"/>
      <c r="M12" s="66"/>
      <c r="N12" s="66"/>
      <c r="O12" s="66"/>
      <c r="P12" s="66"/>
      <c r="Q12" s="66"/>
      <c r="R12" s="66"/>
      <c r="S12" s="66"/>
      <c r="T12" s="66"/>
      <c r="U12" s="78"/>
      <c r="V12" s="88">
        <f t="shared" si="1"/>
        <v>170</v>
      </c>
      <c r="W12" s="92">
        <f t="shared" si="2"/>
        <v>170</v>
      </c>
      <c r="X12" s="94" t="s">
        <v>80</v>
      </c>
      <c r="Y12" s="110">
        <v>170.0</v>
      </c>
      <c r="Z12" s="115" t="s">
        <v>93</v>
      </c>
      <c r="AA12" s="118" t="s">
        <v>240</v>
      </c>
      <c r="AB12" s="118" t="s">
        <v>101</v>
      </c>
      <c r="AC12" s="122" t="s">
        <v>241</v>
      </c>
      <c r="AD12" s="124" t="s">
        <v>242</v>
      </c>
    </row>
    <row r="13">
      <c r="A13" s="64" t="s">
        <v>55</v>
      </c>
      <c r="B13" s="66" t="s">
        <v>243</v>
      </c>
      <c r="C13" s="66">
        <v>1.0</v>
      </c>
      <c r="D13" s="68">
        <v>100.0</v>
      </c>
      <c r="E13" s="66"/>
      <c r="F13" s="66"/>
      <c r="G13" s="66"/>
      <c r="H13" s="66"/>
      <c r="I13" s="66"/>
      <c r="J13" s="66"/>
      <c r="K13" s="66"/>
      <c r="L13" s="66"/>
      <c r="M13" s="66"/>
      <c r="N13" s="66"/>
      <c r="O13" s="66"/>
      <c r="P13" s="66"/>
      <c r="Q13" s="66"/>
      <c r="R13" s="66"/>
      <c r="S13" s="66"/>
      <c r="T13" s="66"/>
      <c r="U13" s="78"/>
      <c r="V13" s="88">
        <f t="shared" si="1"/>
        <v>100</v>
      </c>
      <c r="W13" s="92">
        <f t="shared" si="2"/>
        <v>100</v>
      </c>
      <c r="X13" s="94" t="s">
        <v>80</v>
      </c>
      <c r="Y13" s="110">
        <v>100.0</v>
      </c>
      <c r="Z13" s="115" t="s">
        <v>93</v>
      </c>
      <c r="AA13" s="118" t="s">
        <v>249</v>
      </c>
      <c r="AB13" s="118" t="s">
        <v>101</v>
      </c>
      <c r="AC13" s="122" t="s">
        <v>250</v>
      </c>
      <c r="AD13" s="124" t="s">
        <v>251</v>
      </c>
    </row>
    <row r="14">
      <c r="A14" s="64" t="s">
        <v>55</v>
      </c>
      <c r="B14" s="66" t="s">
        <v>252</v>
      </c>
      <c r="C14" s="66">
        <v>1.0</v>
      </c>
      <c r="D14" s="68">
        <v>290.0</v>
      </c>
      <c r="E14" s="66"/>
      <c r="F14" s="66"/>
      <c r="G14" s="66"/>
      <c r="H14" s="66"/>
      <c r="I14" s="66"/>
      <c r="J14" s="66"/>
      <c r="K14" s="66"/>
      <c r="L14" s="66"/>
      <c r="M14" s="66"/>
      <c r="N14" s="66"/>
      <c r="O14" s="68">
        <v>290.0</v>
      </c>
      <c r="P14" s="66"/>
      <c r="Q14" s="66"/>
      <c r="R14" s="66"/>
      <c r="S14" s="66"/>
      <c r="T14" s="66"/>
      <c r="U14" s="78"/>
      <c r="V14" s="88">
        <f t="shared" si="1"/>
        <v>580</v>
      </c>
      <c r="W14" s="92">
        <f t="shared" si="2"/>
        <v>580</v>
      </c>
      <c r="X14" s="94" t="s">
        <v>124</v>
      </c>
      <c r="Y14" s="110">
        <v>290.0</v>
      </c>
      <c r="Z14" s="115" t="s">
        <v>188</v>
      </c>
      <c r="AA14" s="118" t="s">
        <v>262</v>
      </c>
      <c r="AB14" s="118" t="s">
        <v>101</v>
      </c>
      <c r="AC14" s="122" t="s">
        <v>263</v>
      </c>
      <c r="AD14" s="124" t="s">
        <v>264</v>
      </c>
    </row>
    <row r="15">
      <c r="A15" s="64" t="s">
        <v>55</v>
      </c>
      <c r="B15" s="66" t="s">
        <v>265</v>
      </c>
      <c r="C15" s="66">
        <v>1.0</v>
      </c>
      <c r="D15" s="68">
        <v>850.0</v>
      </c>
      <c r="E15" s="66"/>
      <c r="F15" s="66"/>
      <c r="G15" s="66"/>
      <c r="H15" s="66"/>
      <c r="I15" s="66"/>
      <c r="J15" s="66"/>
      <c r="K15" s="66"/>
      <c r="L15" s="66"/>
      <c r="M15" s="66"/>
      <c r="N15" s="66"/>
      <c r="O15" s="66"/>
      <c r="P15" s="66"/>
      <c r="Q15" s="66"/>
      <c r="R15" s="66"/>
      <c r="S15" s="66"/>
      <c r="T15" s="66"/>
      <c r="U15" s="78"/>
      <c r="V15" s="88">
        <f t="shared" si="1"/>
        <v>850</v>
      </c>
      <c r="W15" s="92">
        <f t="shared" si="2"/>
        <v>850</v>
      </c>
      <c r="X15" s="94" t="s">
        <v>80</v>
      </c>
      <c r="Y15" s="110">
        <v>850.0</v>
      </c>
      <c r="Z15" s="115" t="s">
        <v>188</v>
      </c>
      <c r="AA15" s="118" t="s">
        <v>272</v>
      </c>
      <c r="AB15" s="118" t="s">
        <v>101</v>
      </c>
      <c r="AC15" s="122" t="s">
        <v>274</v>
      </c>
      <c r="AD15" s="124" t="s">
        <v>276</v>
      </c>
    </row>
    <row r="16">
      <c r="A16" s="64" t="s">
        <v>55</v>
      </c>
      <c r="B16" s="66" t="s">
        <v>278</v>
      </c>
      <c r="C16" s="66">
        <v>1.0</v>
      </c>
      <c r="D16" s="68">
        <v>650.0</v>
      </c>
      <c r="E16" s="68"/>
      <c r="F16" s="66"/>
      <c r="G16" s="66"/>
      <c r="H16" s="66"/>
      <c r="I16" s="66"/>
      <c r="J16" s="66"/>
      <c r="K16" s="66"/>
      <c r="L16" s="66"/>
      <c r="M16" s="66"/>
      <c r="N16" s="66"/>
      <c r="O16" s="66"/>
      <c r="P16" s="66"/>
      <c r="Q16" s="66"/>
      <c r="R16" s="66"/>
      <c r="S16" s="66"/>
      <c r="T16" s="66"/>
      <c r="U16" s="78"/>
      <c r="V16" s="88">
        <f t="shared" si="1"/>
        <v>650</v>
      </c>
      <c r="W16" s="92">
        <f t="shared" si="2"/>
        <v>650</v>
      </c>
      <c r="X16" s="94" t="s">
        <v>124</v>
      </c>
      <c r="Y16" s="110">
        <v>650.0</v>
      </c>
      <c r="Z16" s="115" t="s">
        <v>208</v>
      </c>
      <c r="AA16" s="118" t="s">
        <v>281</v>
      </c>
      <c r="AB16" s="118" t="s">
        <v>101</v>
      </c>
      <c r="AC16" s="122" t="s">
        <v>282</v>
      </c>
      <c r="AD16" s="124" t="s">
        <v>283</v>
      </c>
    </row>
    <row r="17">
      <c r="A17" s="64" t="s">
        <v>55</v>
      </c>
      <c r="B17" s="66" t="s">
        <v>284</v>
      </c>
      <c r="C17" s="66">
        <v>1.0</v>
      </c>
      <c r="D17" s="68">
        <v>1500.0</v>
      </c>
      <c r="E17" s="66"/>
      <c r="F17" s="66"/>
      <c r="G17" s="68"/>
      <c r="H17" s="66"/>
      <c r="I17" s="66"/>
      <c r="J17" s="66"/>
      <c r="K17" s="66"/>
      <c r="L17" s="66"/>
      <c r="M17" s="66"/>
      <c r="N17" s="66"/>
      <c r="O17" s="66"/>
      <c r="P17" s="66"/>
      <c r="Q17" s="66"/>
      <c r="R17" s="66"/>
      <c r="S17" s="66"/>
      <c r="T17" s="66"/>
      <c r="U17" s="78"/>
      <c r="V17" s="88">
        <f t="shared" si="1"/>
        <v>1500</v>
      </c>
      <c r="W17" s="92">
        <f t="shared" si="2"/>
        <v>1500</v>
      </c>
      <c r="X17" s="94" t="s">
        <v>80</v>
      </c>
      <c r="Y17" s="277">
        <v>1500.0</v>
      </c>
      <c r="Z17" s="280" t="s">
        <v>208</v>
      </c>
      <c r="AA17" s="283" t="s">
        <v>291</v>
      </c>
      <c r="AB17" s="283" t="s">
        <v>101</v>
      </c>
      <c r="AC17" s="286" t="s">
        <v>292</v>
      </c>
      <c r="AD17" s="292" t="s">
        <v>293</v>
      </c>
    </row>
    <row r="18">
      <c r="A18" s="294"/>
      <c r="B18" s="299" t="s">
        <v>298</v>
      </c>
      <c r="C18" s="299"/>
      <c r="D18" s="313">
        <f t="shared" ref="D18:W18" si="3">SUM(D5:D17)</f>
        <v>25589</v>
      </c>
      <c r="E18" s="313">
        <f t="shared" si="3"/>
        <v>0</v>
      </c>
      <c r="F18" s="313">
        <f t="shared" si="3"/>
        <v>0</v>
      </c>
      <c r="G18" s="313">
        <f t="shared" si="3"/>
        <v>1500</v>
      </c>
      <c r="H18" s="313">
        <f t="shared" si="3"/>
        <v>0</v>
      </c>
      <c r="I18" s="313">
        <f t="shared" si="3"/>
        <v>0</v>
      </c>
      <c r="J18" s="313">
        <f t="shared" si="3"/>
        <v>0</v>
      </c>
      <c r="K18" s="313">
        <f t="shared" si="3"/>
        <v>0</v>
      </c>
      <c r="L18" s="313">
        <f t="shared" si="3"/>
        <v>0</v>
      </c>
      <c r="M18" s="313">
        <f t="shared" si="3"/>
        <v>0</v>
      </c>
      <c r="N18" s="313">
        <f t="shared" si="3"/>
        <v>0</v>
      </c>
      <c r="O18" s="313">
        <f t="shared" si="3"/>
        <v>290</v>
      </c>
      <c r="P18" s="313">
        <f t="shared" si="3"/>
        <v>0</v>
      </c>
      <c r="Q18" s="313">
        <f t="shared" si="3"/>
        <v>0</v>
      </c>
      <c r="R18" s="313">
        <f t="shared" si="3"/>
        <v>0</v>
      </c>
      <c r="S18" s="313">
        <f t="shared" si="3"/>
        <v>0</v>
      </c>
      <c r="T18" s="313">
        <f t="shared" si="3"/>
        <v>0</v>
      </c>
      <c r="U18" s="333">
        <f t="shared" si="3"/>
        <v>0</v>
      </c>
      <c r="V18" s="337">
        <f t="shared" si="3"/>
        <v>27379</v>
      </c>
      <c r="W18" s="341">
        <f t="shared" si="3"/>
        <v>27379</v>
      </c>
      <c r="X18" s="61"/>
      <c r="Y18" s="61"/>
      <c r="Z18" s="61"/>
      <c r="AA18" s="61"/>
      <c r="AB18" s="61"/>
      <c r="AC18" s="61"/>
      <c r="AD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row>
    <row r="20">
      <c r="A20" s="353" t="s">
        <v>323</v>
      </c>
      <c r="B20" s="356"/>
      <c r="C20" s="356"/>
      <c r="D20" s="356"/>
      <c r="E20" s="356"/>
      <c r="F20" s="356"/>
      <c r="G20" s="356"/>
      <c r="H20" s="356"/>
      <c r="I20" s="356"/>
      <c r="J20" s="356"/>
      <c r="K20" s="356"/>
      <c r="L20" s="356"/>
      <c r="M20" s="356"/>
      <c r="N20" s="356"/>
      <c r="O20" s="356"/>
      <c r="P20" s="356"/>
      <c r="Q20" s="356"/>
      <c r="R20" s="356"/>
      <c r="S20" s="356"/>
      <c r="T20" s="356"/>
      <c r="U20" s="356"/>
      <c r="V20" s="361"/>
      <c r="W20" s="363"/>
      <c r="X20" s="365"/>
      <c r="Y20" s="361"/>
      <c r="Z20" s="356"/>
      <c r="AA20" s="356"/>
      <c r="AB20" s="356"/>
      <c r="AC20" s="356"/>
      <c r="AD20" s="363"/>
    </row>
    <row r="21">
      <c r="A21" s="369" t="s">
        <v>323</v>
      </c>
      <c r="B21" s="372" t="s">
        <v>330</v>
      </c>
      <c r="C21" s="372">
        <v>1.0</v>
      </c>
      <c r="D21" s="375">
        <v>900.0</v>
      </c>
      <c r="E21" s="375"/>
      <c r="F21" s="372"/>
      <c r="G21" s="372"/>
      <c r="H21" s="372"/>
      <c r="I21" s="372"/>
      <c r="J21" s="372"/>
      <c r="K21" s="372"/>
      <c r="L21" s="372"/>
      <c r="M21" s="372"/>
      <c r="N21" s="372"/>
      <c r="O21" s="372"/>
      <c r="P21" s="372"/>
      <c r="Q21" s="372"/>
      <c r="R21" s="372"/>
      <c r="S21" s="372"/>
      <c r="T21" s="372"/>
      <c r="U21" s="382"/>
      <c r="V21" s="384">
        <f t="shared" ref="V21:V23" si="4">SUM(D21:O21)</f>
        <v>900</v>
      </c>
      <c r="W21" s="386">
        <f t="shared" ref="W21:W23" si="5">SUM(D21:U21)</f>
        <v>900</v>
      </c>
      <c r="X21" s="94" t="s">
        <v>80</v>
      </c>
      <c r="Y21" s="388">
        <v>900.0</v>
      </c>
      <c r="Z21" s="390" t="s">
        <v>188</v>
      </c>
      <c r="AA21" s="392" t="s">
        <v>334</v>
      </c>
      <c r="AB21" s="392" t="s">
        <v>101</v>
      </c>
      <c r="AC21" s="395" t="s">
        <v>336</v>
      </c>
      <c r="AD21" s="398" t="s">
        <v>338</v>
      </c>
    </row>
    <row r="22">
      <c r="A22" s="369" t="s">
        <v>323</v>
      </c>
      <c r="B22" s="372" t="s">
        <v>339</v>
      </c>
      <c r="C22" s="372">
        <v>1.0</v>
      </c>
      <c r="D22" s="375">
        <v>300.0</v>
      </c>
      <c r="E22" s="372"/>
      <c r="F22" s="372"/>
      <c r="G22" s="372"/>
      <c r="H22" s="372"/>
      <c r="I22" s="372"/>
      <c r="J22" s="372"/>
      <c r="K22" s="372"/>
      <c r="L22" s="372"/>
      <c r="M22" s="372"/>
      <c r="N22" s="372"/>
      <c r="O22" s="372"/>
      <c r="P22" s="372"/>
      <c r="Q22" s="372"/>
      <c r="R22" s="372"/>
      <c r="S22" s="372"/>
      <c r="T22" s="372"/>
      <c r="U22" s="382"/>
      <c r="V22" s="384">
        <f t="shared" si="4"/>
        <v>300</v>
      </c>
      <c r="W22" s="386">
        <f t="shared" si="5"/>
        <v>300</v>
      </c>
      <c r="X22" s="94" t="s">
        <v>80</v>
      </c>
      <c r="Y22" s="388">
        <v>300.0</v>
      </c>
      <c r="Z22" s="390" t="s">
        <v>188</v>
      </c>
      <c r="AA22" s="392" t="s">
        <v>334</v>
      </c>
      <c r="AB22" s="392" t="s">
        <v>101</v>
      </c>
      <c r="AC22" s="395" t="s">
        <v>342</v>
      </c>
      <c r="AD22" s="398" t="s">
        <v>343</v>
      </c>
    </row>
    <row r="23">
      <c r="A23" s="369" t="s">
        <v>323</v>
      </c>
      <c r="B23" s="372" t="s">
        <v>344</v>
      </c>
      <c r="C23" s="372">
        <v>1.0</v>
      </c>
      <c r="D23" s="375">
        <v>100.0</v>
      </c>
      <c r="E23" s="375"/>
      <c r="F23" s="372"/>
      <c r="G23" s="372"/>
      <c r="H23" s="372"/>
      <c r="I23" s="372"/>
      <c r="J23" s="372"/>
      <c r="K23" s="372"/>
      <c r="L23" s="372"/>
      <c r="M23" s="372"/>
      <c r="N23" s="372"/>
      <c r="O23" s="372"/>
      <c r="P23" s="372"/>
      <c r="Q23" s="372"/>
      <c r="R23" s="372"/>
      <c r="S23" s="372"/>
      <c r="T23" s="372"/>
      <c r="U23" s="382"/>
      <c r="V23" s="384">
        <f t="shared" si="4"/>
        <v>100</v>
      </c>
      <c r="W23" s="386">
        <f t="shared" si="5"/>
        <v>100</v>
      </c>
      <c r="X23" s="94" t="s">
        <v>80</v>
      </c>
      <c r="Y23" s="413">
        <v>100.0</v>
      </c>
      <c r="Z23" s="416" t="s">
        <v>208</v>
      </c>
      <c r="AA23" s="417" t="s">
        <v>291</v>
      </c>
      <c r="AB23" s="417" t="s">
        <v>101</v>
      </c>
      <c r="AC23" s="419" t="s">
        <v>352</v>
      </c>
      <c r="AD23" s="420" t="s">
        <v>353</v>
      </c>
    </row>
    <row r="24">
      <c r="A24" s="422"/>
      <c r="B24" s="424" t="s">
        <v>354</v>
      </c>
      <c r="C24" s="424"/>
      <c r="D24" s="429">
        <f t="shared" ref="D24:W24" si="6">SUM(D21:D23)</f>
        <v>1300</v>
      </c>
      <c r="E24" s="429">
        <f t="shared" si="6"/>
        <v>0</v>
      </c>
      <c r="F24" s="429">
        <f t="shared" si="6"/>
        <v>0</v>
      </c>
      <c r="G24" s="429">
        <f t="shared" si="6"/>
        <v>0</v>
      </c>
      <c r="H24" s="429">
        <f t="shared" si="6"/>
        <v>0</v>
      </c>
      <c r="I24" s="429">
        <f t="shared" si="6"/>
        <v>0</v>
      </c>
      <c r="J24" s="429">
        <f t="shared" si="6"/>
        <v>0</v>
      </c>
      <c r="K24" s="429">
        <f t="shared" si="6"/>
        <v>0</v>
      </c>
      <c r="L24" s="429">
        <f t="shared" si="6"/>
        <v>0</v>
      </c>
      <c r="M24" s="429">
        <f t="shared" si="6"/>
        <v>0</v>
      </c>
      <c r="N24" s="429">
        <f t="shared" si="6"/>
        <v>0</v>
      </c>
      <c r="O24" s="429">
        <f t="shared" si="6"/>
        <v>0</v>
      </c>
      <c r="P24" s="429">
        <f t="shared" si="6"/>
        <v>0</v>
      </c>
      <c r="Q24" s="429">
        <f t="shared" si="6"/>
        <v>0</v>
      </c>
      <c r="R24" s="429">
        <f t="shared" si="6"/>
        <v>0</v>
      </c>
      <c r="S24" s="429">
        <f t="shared" si="6"/>
        <v>0</v>
      </c>
      <c r="T24" s="429">
        <f t="shared" si="6"/>
        <v>0</v>
      </c>
      <c r="U24" s="435">
        <f t="shared" si="6"/>
        <v>0</v>
      </c>
      <c r="V24" s="436">
        <f t="shared" si="6"/>
        <v>1300</v>
      </c>
      <c r="W24" s="438">
        <f t="shared" si="6"/>
        <v>1300</v>
      </c>
      <c r="X24" s="61"/>
      <c r="Y24" s="61"/>
      <c r="Z24" s="61"/>
      <c r="AA24" s="61"/>
      <c r="AB24" s="61"/>
      <c r="AC24" s="61"/>
      <c r="AD24" s="61"/>
    </row>
    <row r="25">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row>
    <row r="26">
      <c r="A26" s="443" t="s">
        <v>373</v>
      </c>
      <c r="B26" s="444"/>
      <c r="C26" s="444"/>
      <c r="D26" s="444"/>
      <c r="E26" s="444"/>
      <c r="F26" s="444"/>
      <c r="G26" s="444"/>
      <c r="H26" s="444"/>
      <c r="I26" s="444"/>
      <c r="J26" s="444"/>
      <c r="K26" s="444"/>
      <c r="L26" s="444"/>
      <c r="M26" s="444"/>
      <c r="N26" s="444"/>
      <c r="O26" s="444"/>
      <c r="P26" s="444"/>
      <c r="Q26" s="444"/>
      <c r="R26" s="444"/>
      <c r="S26" s="444"/>
      <c r="T26" s="444"/>
      <c r="U26" s="444"/>
      <c r="V26" s="446"/>
      <c r="W26" s="447"/>
      <c r="X26" s="365"/>
      <c r="Y26" s="446"/>
      <c r="Z26" s="444"/>
      <c r="AA26" s="444"/>
      <c r="AB26" s="444"/>
      <c r="AC26" s="444"/>
      <c r="AD26" s="447"/>
    </row>
    <row r="27">
      <c r="A27" s="449" t="s">
        <v>373</v>
      </c>
      <c r="B27" s="450" t="s">
        <v>374</v>
      </c>
      <c r="C27" s="450">
        <v>1.0</v>
      </c>
      <c r="D27" s="454">
        <v>4000.0</v>
      </c>
      <c r="E27" s="455"/>
      <c r="F27" s="450"/>
      <c r="G27" s="450"/>
      <c r="H27" s="450"/>
      <c r="I27" s="450"/>
      <c r="J27" s="450"/>
      <c r="K27" s="450"/>
      <c r="L27" s="450"/>
      <c r="M27" s="450"/>
      <c r="N27" s="450"/>
      <c r="O27" s="450"/>
      <c r="P27" s="450"/>
      <c r="Q27" s="450"/>
      <c r="R27" s="450"/>
      <c r="S27" s="450"/>
      <c r="T27" s="450"/>
      <c r="U27" s="459"/>
      <c r="V27" s="464">
        <f t="shared" ref="V27:V39" si="7">SUM(D27:O27)</f>
        <v>4000</v>
      </c>
      <c r="W27" s="469">
        <f t="shared" ref="W27:W39" si="8">SUM(D27:U27)</f>
        <v>4000</v>
      </c>
      <c r="X27" s="94" t="s">
        <v>80</v>
      </c>
      <c r="Y27" s="471">
        <v>4000.0</v>
      </c>
      <c r="Z27" s="472" t="s">
        <v>188</v>
      </c>
      <c r="AA27" s="473" t="s">
        <v>379</v>
      </c>
      <c r="AB27" s="473" t="s">
        <v>101</v>
      </c>
      <c r="AC27" s="475" t="s">
        <v>380</v>
      </c>
      <c r="AD27" s="477" t="s">
        <v>381</v>
      </c>
    </row>
    <row r="28">
      <c r="A28" s="449" t="s">
        <v>373</v>
      </c>
      <c r="B28" s="450" t="s">
        <v>384</v>
      </c>
      <c r="C28" s="450">
        <v>1.0</v>
      </c>
      <c r="D28" s="454">
        <v>800.0</v>
      </c>
      <c r="E28" s="478"/>
      <c r="F28" s="450"/>
      <c r="G28" s="450"/>
      <c r="H28" s="450"/>
      <c r="I28" s="450"/>
      <c r="J28" s="450"/>
      <c r="K28" s="450"/>
      <c r="L28" s="450"/>
      <c r="M28" s="450"/>
      <c r="N28" s="450"/>
      <c r="O28" s="450"/>
      <c r="P28" s="450"/>
      <c r="Q28" s="450"/>
      <c r="R28" s="450"/>
      <c r="S28" s="450"/>
      <c r="T28" s="450"/>
      <c r="U28" s="459"/>
      <c r="V28" s="464">
        <f t="shared" si="7"/>
        <v>800</v>
      </c>
      <c r="W28" s="469">
        <f t="shared" si="8"/>
        <v>800</v>
      </c>
      <c r="X28" s="94" t="s">
        <v>80</v>
      </c>
      <c r="Y28" s="471">
        <v>800.0</v>
      </c>
      <c r="Z28" s="472" t="s">
        <v>188</v>
      </c>
      <c r="AA28" s="473" t="s">
        <v>388</v>
      </c>
      <c r="AB28" s="473" t="s">
        <v>101</v>
      </c>
      <c r="AC28" s="475" t="s">
        <v>380</v>
      </c>
      <c r="AD28" s="477" t="s">
        <v>390</v>
      </c>
    </row>
    <row r="29">
      <c r="A29" s="449" t="s">
        <v>373</v>
      </c>
      <c r="B29" s="450" t="s">
        <v>391</v>
      </c>
      <c r="C29" s="450">
        <v>1.0</v>
      </c>
      <c r="D29" s="454">
        <v>450.0</v>
      </c>
      <c r="E29" s="478"/>
      <c r="F29" s="450"/>
      <c r="G29" s="450"/>
      <c r="H29" s="450"/>
      <c r="I29" s="450"/>
      <c r="J29" s="450"/>
      <c r="K29" s="450"/>
      <c r="L29" s="450"/>
      <c r="M29" s="450"/>
      <c r="N29" s="450"/>
      <c r="O29" s="450"/>
      <c r="P29" s="450"/>
      <c r="Q29" s="450"/>
      <c r="R29" s="450"/>
      <c r="S29" s="450"/>
      <c r="T29" s="450"/>
      <c r="U29" s="459"/>
      <c r="V29" s="464">
        <f t="shared" si="7"/>
        <v>450</v>
      </c>
      <c r="W29" s="469">
        <f t="shared" si="8"/>
        <v>450</v>
      </c>
      <c r="X29" s="94" t="s">
        <v>80</v>
      </c>
      <c r="Y29" s="471">
        <v>450.0</v>
      </c>
      <c r="Z29" s="472" t="s">
        <v>188</v>
      </c>
      <c r="AA29" s="473" t="s">
        <v>388</v>
      </c>
      <c r="AB29" s="473" t="s">
        <v>101</v>
      </c>
      <c r="AC29" s="475" t="s">
        <v>380</v>
      </c>
      <c r="AD29" s="477" t="s">
        <v>394</v>
      </c>
    </row>
    <row r="30">
      <c r="A30" s="449" t="s">
        <v>373</v>
      </c>
      <c r="B30" s="450" t="s">
        <v>395</v>
      </c>
      <c r="C30" s="450">
        <v>1.0</v>
      </c>
      <c r="D30" s="454">
        <v>1250.0</v>
      </c>
      <c r="E30" s="478"/>
      <c r="F30" s="450"/>
      <c r="G30" s="450"/>
      <c r="H30" s="450"/>
      <c r="I30" s="450"/>
      <c r="J30" s="450"/>
      <c r="K30" s="450"/>
      <c r="L30" s="450"/>
      <c r="M30" s="450"/>
      <c r="N30" s="450"/>
      <c r="O30" s="450"/>
      <c r="P30" s="450"/>
      <c r="Q30" s="450"/>
      <c r="R30" s="450"/>
      <c r="S30" s="450"/>
      <c r="T30" s="450"/>
      <c r="U30" s="459"/>
      <c r="V30" s="464">
        <f t="shared" si="7"/>
        <v>1250</v>
      </c>
      <c r="W30" s="469">
        <f t="shared" si="8"/>
        <v>1250</v>
      </c>
      <c r="X30" s="94" t="s">
        <v>80</v>
      </c>
      <c r="Y30" s="471">
        <v>1250.0</v>
      </c>
      <c r="Z30" s="472" t="s">
        <v>188</v>
      </c>
      <c r="AA30" s="473" t="s">
        <v>402</v>
      </c>
      <c r="AB30" s="473" t="s">
        <v>101</v>
      </c>
      <c r="AC30" s="475" t="s">
        <v>380</v>
      </c>
      <c r="AD30" s="477" t="s">
        <v>403</v>
      </c>
    </row>
    <row r="31">
      <c r="A31" s="449" t="s">
        <v>373</v>
      </c>
      <c r="B31" s="450" t="s">
        <v>404</v>
      </c>
      <c r="C31" s="450">
        <v>1.0</v>
      </c>
      <c r="D31" s="454">
        <v>180.0</v>
      </c>
      <c r="E31" s="478"/>
      <c r="F31" s="450"/>
      <c r="G31" s="450"/>
      <c r="H31" s="450"/>
      <c r="I31" s="450"/>
      <c r="J31" s="450"/>
      <c r="K31" s="450"/>
      <c r="L31" s="450"/>
      <c r="M31" s="450"/>
      <c r="N31" s="450"/>
      <c r="O31" s="450"/>
      <c r="P31" s="450"/>
      <c r="Q31" s="450"/>
      <c r="R31" s="450"/>
      <c r="S31" s="450"/>
      <c r="T31" s="450"/>
      <c r="U31" s="459"/>
      <c r="V31" s="464">
        <f t="shared" si="7"/>
        <v>180</v>
      </c>
      <c r="W31" s="469">
        <f t="shared" si="8"/>
        <v>180</v>
      </c>
      <c r="X31" s="94" t="s">
        <v>80</v>
      </c>
      <c r="Y31" s="471">
        <v>180.0</v>
      </c>
      <c r="Z31" s="472" t="s">
        <v>93</v>
      </c>
      <c r="AA31" s="473" t="s">
        <v>412</v>
      </c>
      <c r="AB31" s="473" t="s">
        <v>101</v>
      </c>
      <c r="AC31" s="475" t="s">
        <v>380</v>
      </c>
      <c r="AD31" s="477" t="s">
        <v>413</v>
      </c>
    </row>
    <row r="32">
      <c r="A32" s="449" t="s">
        <v>373</v>
      </c>
      <c r="B32" s="450" t="s">
        <v>414</v>
      </c>
      <c r="C32" s="450">
        <v>2.0</v>
      </c>
      <c r="D32" s="454">
        <v>700.0</v>
      </c>
      <c r="E32" s="478"/>
      <c r="F32" s="450"/>
      <c r="G32" s="450"/>
      <c r="H32" s="450"/>
      <c r="I32" s="450"/>
      <c r="J32" s="450"/>
      <c r="K32" s="450"/>
      <c r="L32" s="450"/>
      <c r="M32" s="450"/>
      <c r="N32" s="450"/>
      <c r="O32" s="450"/>
      <c r="P32" s="450"/>
      <c r="Q32" s="450"/>
      <c r="R32" s="450"/>
      <c r="S32" s="450"/>
      <c r="T32" s="450"/>
      <c r="U32" s="459"/>
      <c r="V32" s="464">
        <f t="shared" si="7"/>
        <v>700</v>
      </c>
      <c r="W32" s="469">
        <f t="shared" si="8"/>
        <v>700</v>
      </c>
      <c r="X32" s="94" t="s">
        <v>80</v>
      </c>
      <c r="Y32" s="471">
        <v>350.0</v>
      </c>
      <c r="Z32" s="472" t="s">
        <v>93</v>
      </c>
      <c r="AA32" s="473" t="s">
        <v>412</v>
      </c>
      <c r="AB32" s="473" t="s">
        <v>101</v>
      </c>
      <c r="AC32" s="475" t="s">
        <v>380</v>
      </c>
      <c r="AD32" s="477" t="s">
        <v>422</v>
      </c>
    </row>
    <row r="33">
      <c r="A33" s="449" t="s">
        <v>373</v>
      </c>
      <c r="B33" s="450" t="s">
        <v>423</v>
      </c>
      <c r="C33" s="450">
        <v>1.0</v>
      </c>
      <c r="D33" s="455">
        <v>300.0</v>
      </c>
      <c r="E33" s="478"/>
      <c r="F33" s="450"/>
      <c r="G33" s="450"/>
      <c r="H33" s="450"/>
      <c r="I33" s="450"/>
      <c r="J33" s="450"/>
      <c r="K33" s="450"/>
      <c r="L33" s="450"/>
      <c r="M33" s="450"/>
      <c r="N33" s="450"/>
      <c r="O33" s="450"/>
      <c r="P33" s="450"/>
      <c r="Q33" s="450"/>
      <c r="R33" s="450"/>
      <c r="S33" s="450"/>
      <c r="T33" s="450"/>
      <c r="U33" s="459"/>
      <c r="V33" s="464">
        <f t="shared" si="7"/>
        <v>300</v>
      </c>
      <c r="W33" s="469">
        <f t="shared" si="8"/>
        <v>300</v>
      </c>
      <c r="X33" s="94" t="s">
        <v>80</v>
      </c>
      <c r="Y33" s="471">
        <v>300.0</v>
      </c>
      <c r="Z33" s="472" t="s">
        <v>188</v>
      </c>
      <c r="AA33" s="473" t="s">
        <v>388</v>
      </c>
      <c r="AB33" s="473" t="s">
        <v>101</v>
      </c>
      <c r="AC33" s="475" t="s">
        <v>380</v>
      </c>
      <c r="AD33" s="477" t="s">
        <v>428</v>
      </c>
    </row>
    <row r="34">
      <c r="A34" s="449" t="s">
        <v>373</v>
      </c>
      <c r="B34" s="450" t="s">
        <v>430</v>
      </c>
      <c r="C34" s="450">
        <v>1.0</v>
      </c>
      <c r="D34" s="454">
        <v>300.0</v>
      </c>
      <c r="E34" s="478"/>
      <c r="F34" s="450"/>
      <c r="G34" s="450"/>
      <c r="H34" s="450"/>
      <c r="I34" s="450"/>
      <c r="J34" s="450"/>
      <c r="K34" s="450"/>
      <c r="L34" s="450"/>
      <c r="M34" s="450"/>
      <c r="N34" s="450"/>
      <c r="O34" s="450"/>
      <c r="P34" s="450"/>
      <c r="Q34" s="450"/>
      <c r="R34" s="450"/>
      <c r="S34" s="450"/>
      <c r="T34" s="450"/>
      <c r="U34" s="459"/>
      <c r="V34" s="464">
        <f t="shared" si="7"/>
        <v>300</v>
      </c>
      <c r="W34" s="469">
        <f t="shared" si="8"/>
        <v>300</v>
      </c>
      <c r="X34" s="94" t="s">
        <v>80</v>
      </c>
      <c r="Y34" s="471">
        <v>300.0</v>
      </c>
      <c r="Z34" s="472" t="s">
        <v>188</v>
      </c>
      <c r="AA34" s="473" t="s">
        <v>388</v>
      </c>
      <c r="AB34" s="473" t="s">
        <v>101</v>
      </c>
      <c r="AC34" s="475" t="s">
        <v>380</v>
      </c>
      <c r="AD34" s="477" t="s">
        <v>434</v>
      </c>
    </row>
    <row r="35">
      <c r="A35" s="449" t="s">
        <v>373</v>
      </c>
      <c r="B35" s="450" t="s">
        <v>435</v>
      </c>
      <c r="C35" s="450">
        <v>1.0</v>
      </c>
      <c r="D35" s="454">
        <v>250.0</v>
      </c>
      <c r="E35" s="478"/>
      <c r="F35" s="450"/>
      <c r="G35" s="450"/>
      <c r="H35" s="450"/>
      <c r="I35" s="450"/>
      <c r="J35" s="450"/>
      <c r="K35" s="450"/>
      <c r="L35" s="450"/>
      <c r="M35" s="450"/>
      <c r="N35" s="450"/>
      <c r="O35" s="450"/>
      <c r="P35" s="450"/>
      <c r="Q35" s="450"/>
      <c r="R35" s="450"/>
      <c r="S35" s="450"/>
      <c r="T35" s="450"/>
      <c r="U35" s="459"/>
      <c r="V35" s="464">
        <f t="shared" si="7"/>
        <v>250</v>
      </c>
      <c r="W35" s="469">
        <f t="shared" si="8"/>
        <v>250</v>
      </c>
      <c r="X35" s="94" t="s">
        <v>80</v>
      </c>
      <c r="Y35" s="471">
        <v>250.0</v>
      </c>
      <c r="Z35" s="472" t="s">
        <v>188</v>
      </c>
      <c r="AA35" s="473" t="s">
        <v>388</v>
      </c>
      <c r="AB35" s="473" t="s">
        <v>101</v>
      </c>
      <c r="AC35" s="475" t="s">
        <v>380</v>
      </c>
      <c r="AD35" s="477" t="s">
        <v>439</v>
      </c>
    </row>
    <row r="36">
      <c r="A36" s="449" t="s">
        <v>373</v>
      </c>
      <c r="B36" s="450" t="s">
        <v>441</v>
      </c>
      <c r="C36" s="450">
        <v>1.0</v>
      </c>
      <c r="D36" s="454">
        <v>250.0</v>
      </c>
      <c r="E36" s="478"/>
      <c r="F36" s="450"/>
      <c r="G36" s="450"/>
      <c r="H36" s="450"/>
      <c r="I36" s="450"/>
      <c r="J36" s="450"/>
      <c r="K36" s="450"/>
      <c r="L36" s="450"/>
      <c r="M36" s="450"/>
      <c r="N36" s="450"/>
      <c r="O36" s="450"/>
      <c r="P36" s="450"/>
      <c r="Q36" s="450"/>
      <c r="R36" s="450"/>
      <c r="S36" s="450"/>
      <c r="T36" s="450"/>
      <c r="U36" s="459"/>
      <c r="V36" s="464">
        <f t="shared" si="7"/>
        <v>250</v>
      </c>
      <c r="W36" s="469">
        <f t="shared" si="8"/>
        <v>250</v>
      </c>
      <c r="X36" s="94" t="s">
        <v>80</v>
      </c>
      <c r="Y36" s="471">
        <v>250.0</v>
      </c>
      <c r="Z36" s="472" t="s">
        <v>188</v>
      </c>
      <c r="AA36" s="473" t="s">
        <v>388</v>
      </c>
      <c r="AB36" s="473" t="s">
        <v>101</v>
      </c>
      <c r="AC36" s="475" t="s">
        <v>380</v>
      </c>
      <c r="AD36" s="477" t="s">
        <v>444</v>
      </c>
    </row>
    <row r="37">
      <c r="A37" s="449" t="s">
        <v>373</v>
      </c>
      <c r="B37" s="450" t="s">
        <v>445</v>
      </c>
      <c r="C37" s="450">
        <v>1.0</v>
      </c>
      <c r="D37" s="454">
        <v>550.0</v>
      </c>
      <c r="E37" s="478"/>
      <c r="F37" s="450"/>
      <c r="G37" s="450"/>
      <c r="H37" s="450"/>
      <c r="I37" s="450"/>
      <c r="J37" s="450"/>
      <c r="K37" s="450"/>
      <c r="L37" s="450"/>
      <c r="M37" s="450"/>
      <c r="N37" s="450"/>
      <c r="O37" s="450"/>
      <c r="P37" s="450"/>
      <c r="Q37" s="450"/>
      <c r="R37" s="450"/>
      <c r="S37" s="450"/>
      <c r="T37" s="450"/>
      <c r="U37" s="459"/>
      <c r="V37" s="464">
        <f t="shared" si="7"/>
        <v>550</v>
      </c>
      <c r="W37" s="469">
        <f t="shared" si="8"/>
        <v>550</v>
      </c>
      <c r="X37" s="94" t="s">
        <v>80</v>
      </c>
      <c r="Y37" s="471">
        <v>550.0</v>
      </c>
      <c r="Z37" s="472" t="s">
        <v>188</v>
      </c>
      <c r="AA37" s="473" t="s">
        <v>447</v>
      </c>
      <c r="AB37" s="473" t="s">
        <v>101</v>
      </c>
      <c r="AC37" s="475" t="s">
        <v>380</v>
      </c>
      <c r="AD37" s="477" t="s">
        <v>448</v>
      </c>
    </row>
    <row r="38">
      <c r="A38" s="449" t="s">
        <v>373</v>
      </c>
      <c r="B38" s="450" t="s">
        <v>449</v>
      </c>
      <c r="C38" s="450">
        <v>2.0</v>
      </c>
      <c r="D38" s="455">
        <v>600.0</v>
      </c>
      <c r="E38" s="450"/>
      <c r="F38" s="450"/>
      <c r="G38" s="450"/>
      <c r="H38" s="450"/>
      <c r="I38" s="450"/>
      <c r="J38" s="450"/>
      <c r="K38" s="450"/>
      <c r="L38" s="450"/>
      <c r="M38" s="450"/>
      <c r="N38" s="450"/>
      <c r="O38" s="450"/>
      <c r="P38" s="450"/>
      <c r="Q38" s="450"/>
      <c r="R38" s="450"/>
      <c r="S38" s="450"/>
      <c r="T38" s="450"/>
      <c r="U38" s="459"/>
      <c r="V38" s="464">
        <f t="shared" si="7"/>
        <v>600</v>
      </c>
      <c r="W38" s="469">
        <f t="shared" si="8"/>
        <v>600</v>
      </c>
      <c r="X38" s="94" t="s">
        <v>80</v>
      </c>
      <c r="Y38" s="471">
        <v>300.0</v>
      </c>
      <c r="Z38" s="472" t="s">
        <v>188</v>
      </c>
      <c r="AA38" s="473" t="s">
        <v>388</v>
      </c>
      <c r="AB38" s="473" t="s">
        <v>101</v>
      </c>
      <c r="AC38" s="475" t="s">
        <v>380</v>
      </c>
      <c r="AD38" s="477" t="s">
        <v>451</v>
      </c>
    </row>
    <row r="39">
      <c r="A39" s="449" t="s">
        <v>373</v>
      </c>
      <c r="B39" s="450" t="s">
        <v>452</v>
      </c>
      <c r="C39" s="450">
        <v>1.0</v>
      </c>
      <c r="D39" s="455">
        <v>250.0</v>
      </c>
      <c r="E39" s="450"/>
      <c r="F39" s="450"/>
      <c r="G39" s="450"/>
      <c r="H39" s="450"/>
      <c r="I39" s="450"/>
      <c r="J39" s="450"/>
      <c r="K39" s="450"/>
      <c r="L39" s="450"/>
      <c r="M39" s="450"/>
      <c r="N39" s="450"/>
      <c r="O39" s="450"/>
      <c r="P39" s="450"/>
      <c r="Q39" s="450"/>
      <c r="R39" s="450"/>
      <c r="S39" s="450"/>
      <c r="T39" s="450"/>
      <c r="U39" s="459"/>
      <c r="V39" s="464">
        <f t="shared" si="7"/>
        <v>250</v>
      </c>
      <c r="W39" s="469">
        <f t="shared" si="8"/>
        <v>250</v>
      </c>
      <c r="X39" s="94" t="s">
        <v>80</v>
      </c>
      <c r="Y39" s="515">
        <v>250.0</v>
      </c>
      <c r="Z39" s="517" t="s">
        <v>93</v>
      </c>
      <c r="AA39" s="518" t="s">
        <v>412</v>
      </c>
      <c r="AB39" s="518" t="s">
        <v>101</v>
      </c>
      <c r="AC39" s="520" t="s">
        <v>380</v>
      </c>
      <c r="AD39" s="522" t="s">
        <v>460</v>
      </c>
    </row>
    <row r="40">
      <c r="A40" s="524"/>
      <c r="B40" s="526" t="s">
        <v>461</v>
      </c>
      <c r="C40" s="526"/>
      <c r="D40" s="529">
        <f t="shared" ref="D40:W40" si="9">SUM(D27:D39)</f>
        <v>9880</v>
      </c>
      <c r="E40" s="529">
        <f t="shared" si="9"/>
        <v>0</v>
      </c>
      <c r="F40" s="529">
        <f t="shared" si="9"/>
        <v>0</v>
      </c>
      <c r="G40" s="529">
        <f t="shared" si="9"/>
        <v>0</v>
      </c>
      <c r="H40" s="529">
        <f t="shared" si="9"/>
        <v>0</v>
      </c>
      <c r="I40" s="529">
        <f t="shared" si="9"/>
        <v>0</v>
      </c>
      <c r="J40" s="529">
        <f t="shared" si="9"/>
        <v>0</v>
      </c>
      <c r="K40" s="529">
        <f t="shared" si="9"/>
        <v>0</v>
      </c>
      <c r="L40" s="529">
        <f t="shared" si="9"/>
        <v>0</v>
      </c>
      <c r="M40" s="529">
        <f t="shared" si="9"/>
        <v>0</v>
      </c>
      <c r="N40" s="529">
        <f t="shared" si="9"/>
        <v>0</v>
      </c>
      <c r="O40" s="529">
        <f t="shared" si="9"/>
        <v>0</v>
      </c>
      <c r="P40" s="529">
        <f t="shared" si="9"/>
        <v>0</v>
      </c>
      <c r="Q40" s="529">
        <f t="shared" si="9"/>
        <v>0</v>
      </c>
      <c r="R40" s="529">
        <f t="shared" si="9"/>
        <v>0</v>
      </c>
      <c r="S40" s="529">
        <f t="shared" si="9"/>
        <v>0</v>
      </c>
      <c r="T40" s="529">
        <f t="shared" si="9"/>
        <v>0</v>
      </c>
      <c r="U40" s="539">
        <f t="shared" si="9"/>
        <v>0</v>
      </c>
      <c r="V40" s="542">
        <f t="shared" si="9"/>
        <v>9880</v>
      </c>
      <c r="W40" s="545">
        <f t="shared" si="9"/>
        <v>9880</v>
      </c>
      <c r="X40" s="547"/>
      <c r="Y40" s="61"/>
      <c r="Z40" s="61"/>
      <c r="AA40" s="61"/>
      <c r="AB40" s="61"/>
      <c r="AC40" s="61"/>
      <c r="AD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547"/>
      <c r="Y41" s="61"/>
      <c r="Z41" s="61"/>
      <c r="AA41" s="61"/>
      <c r="AB41" s="61"/>
      <c r="AC41" s="61"/>
      <c r="AD41" s="61"/>
    </row>
    <row r="42">
      <c r="A42" s="554" t="s">
        <v>471</v>
      </c>
      <c r="B42" s="556"/>
      <c r="C42" s="556"/>
      <c r="D42" s="556"/>
      <c r="E42" s="556"/>
      <c r="F42" s="556"/>
      <c r="G42" s="556"/>
      <c r="H42" s="556"/>
      <c r="I42" s="556"/>
      <c r="J42" s="556"/>
      <c r="K42" s="556"/>
      <c r="L42" s="556"/>
      <c r="M42" s="556"/>
      <c r="N42" s="556"/>
      <c r="O42" s="556"/>
      <c r="P42" s="556"/>
      <c r="Q42" s="556"/>
      <c r="R42" s="556"/>
      <c r="S42" s="556"/>
      <c r="T42" s="556"/>
      <c r="U42" s="556"/>
      <c r="V42" s="564"/>
      <c r="W42" s="566"/>
      <c r="X42" s="547"/>
      <c r="Y42" s="564"/>
      <c r="Z42" s="556"/>
      <c r="AA42" s="556"/>
      <c r="AB42" s="556"/>
      <c r="AC42" s="556"/>
      <c r="AD42" s="566"/>
    </row>
    <row r="43">
      <c r="A43" s="568" t="s">
        <v>471</v>
      </c>
      <c r="B43" s="570" t="s">
        <v>479</v>
      </c>
      <c r="C43" s="570">
        <v>1.0</v>
      </c>
      <c r="D43" s="570"/>
      <c r="E43" s="570"/>
      <c r="F43" s="570"/>
      <c r="G43" s="454">
        <v>3499.0</v>
      </c>
      <c r="H43" s="572"/>
      <c r="I43" s="570"/>
      <c r="J43" s="570"/>
      <c r="K43" s="570"/>
      <c r="L43" s="570"/>
      <c r="M43" s="570"/>
      <c r="N43" s="570"/>
      <c r="O43" s="570"/>
      <c r="P43" s="570"/>
      <c r="Q43" s="570"/>
      <c r="R43" s="570"/>
      <c r="S43" s="570"/>
      <c r="T43" s="570"/>
      <c r="U43" s="575"/>
      <c r="V43" s="580">
        <f t="shared" ref="V43:V52" si="10">SUM(D43:O43)</f>
        <v>3499</v>
      </c>
      <c r="W43" s="586">
        <f t="shared" ref="W43:W52" si="11">SUM(D43:U43)</f>
        <v>3499</v>
      </c>
      <c r="X43" s="94" t="s">
        <v>80</v>
      </c>
      <c r="Y43" s="588">
        <v>3499.0</v>
      </c>
      <c r="Z43" s="590" t="s">
        <v>93</v>
      </c>
      <c r="AA43" s="592" t="s">
        <v>494</v>
      </c>
      <c r="AB43" s="592" t="s">
        <v>232</v>
      </c>
      <c r="AC43" s="595" t="s">
        <v>497</v>
      </c>
      <c r="AD43" s="598" t="s">
        <v>498</v>
      </c>
    </row>
    <row r="44">
      <c r="A44" s="568" t="s">
        <v>471</v>
      </c>
      <c r="B44" s="570" t="s">
        <v>501</v>
      </c>
      <c r="C44" s="570">
        <v>1.0</v>
      </c>
      <c r="D44" s="570"/>
      <c r="E44" s="570"/>
      <c r="F44" s="570"/>
      <c r="G44" s="454">
        <v>150.0</v>
      </c>
      <c r="H44" s="572"/>
      <c r="I44" s="570"/>
      <c r="J44" s="570"/>
      <c r="K44" s="570"/>
      <c r="L44" s="570"/>
      <c r="M44" s="570"/>
      <c r="N44" s="570"/>
      <c r="O44" s="570"/>
      <c r="P44" s="570"/>
      <c r="Q44" s="570"/>
      <c r="R44" s="570"/>
      <c r="S44" s="570"/>
      <c r="T44" s="570"/>
      <c r="U44" s="575"/>
      <c r="V44" s="580">
        <f t="shared" si="10"/>
        <v>150</v>
      </c>
      <c r="W44" s="586">
        <f t="shared" si="11"/>
        <v>150</v>
      </c>
      <c r="X44" s="94" t="s">
        <v>80</v>
      </c>
      <c r="Y44" s="588">
        <v>150.0</v>
      </c>
      <c r="Z44" s="590" t="s">
        <v>93</v>
      </c>
      <c r="AA44" s="592" t="s">
        <v>412</v>
      </c>
      <c r="AB44" s="592" t="s">
        <v>232</v>
      </c>
      <c r="AC44" s="595" t="s">
        <v>497</v>
      </c>
      <c r="AD44" s="598" t="s">
        <v>507</v>
      </c>
    </row>
    <row r="45">
      <c r="A45" s="568" t="s">
        <v>471</v>
      </c>
      <c r="B45" s="570" t="s">
        <v>508</v>
      </c>
      <c r="C45" s="570">
        <v>1.0</v>
      </c>
      <c r="D45" s="570"/>
      <c r="E45" s="570"/>
      <c r="F45" s="570"/>
      <c r="G45" s="454">
        <v>250.0</v>
      </c>
      <c r="H45" s="572"/>
      <c r="I45" s="570"/>
      <c r="J45" s="570"/>
      <c r="K45" s="570"/>
      <c r="L45" s="570"/>
      <c r="M45" s="570"/>
      <c r="N45" s="570"/>
      <c r="O45" s="570"/>
      <c r="P45" s="570"/>
      <c r="Q45" s="570"/>
      <c r="R45" s="570"/>
      <c r="S45" s="570"/>
      <c r="T45" s="570"/>
      <c r="U45" s="575"/>
      <c r="V45" s="580">
        <f t="shared" si="10"/>
        <v>250</v>
      </c>
      <c r="W45" s="586">
        <f t="shared" si="11"/>
        <v>250</v>
      </c>
      <c r="X45" s="94" t="s">
        <v>80</v>
      </c>
      <c r="Y45" s="588">
        <v>250.0</v>
      </c>
      <c r="Z45" s="590" t="s">
        <v>188</v>
      </c>
      <c r="AA45" s="592" t="s">
        <v>388</v>
      </c>
      <c r="AB45" s="592" t="s">
        <v>232</v>
      </c>
      <c r="AC45" s="595" t="s">
        <v>497</v>
      </c>
      <c r="AD45" s="598" t="s">
        <v>512</v>
      </c>
    </row>
    <row r="46">
      <c r="A46" s="568" t="s">
        <v>471</v>
      </c>
      <c r="B46" s="570" t="s">
        <v>514</v>
      </c>
      <c r="C46" s="570">
        <v>1.0</v>
      </c>
      <c r="D46" s="570"/>
      <c r="E46" s="570"/>
      <c r="F46" s="570"/>
      <c r="G46" s="454">
        <v>120.0</v>
      </c>
      <c r="H46" s="572"/>
      <c r="I46" s="570"/>
      <c r="J46" s="570"/>
      <c r="K46" s="570"/>
      <c r="L46" s="570"/>
      <c r="M46" s="570"/>
      <c r="N46" s="570"/>
      <c r="O46" s="570"/>
      <c r="P46" s="570"/>
      <c r="Q46" s="570"/>
      <c r="R46" s="570"/>
      <c r="S46" s="570"/>
      <c r="T46" s="570"/>
      <c r="U46" s="575"/>
      <c r="V46" s="580">
        <f t="shared" si="10"/>
        <v>120</v>
      </c>
      <c r="W46" s="586">
        <f t="shared" si="11"/>
        <v>120</v>
      </c>
      <c r="X46" s="94" t="s">
        <v>80</v>
      </c>
      <c r="Y46" s="588">
        <v>120.0</v>
      </c>
      <c r="Z46" s="590" t="s">
        <v>188</v>
      </c>
      <c r="AA46" s="592" t="s">
        <v>388</v>
      </c>
      <c r="AB46" s="592" t="s">
        <v>232</v>
      </c>
      <c r="AC46" s="595" t="s">
        <v>497</v>
      </c>
      <c r="AD46" s="598" t="s">
        <v>519</v>
      </c>
    </row>
    <row r="47">
      <c r="A47" s="568" t="s">
        <v>471</v>
      </c>
      <c r="B47" s="570" t="s">
        <v>520</v>
      </c>
      <c r="C47" s="570">
        <v>1.0</v>
      </c>
      <c r="D47" s="570"/>
      <c r="E47" s="570"/>
      <c r="F47" s="570"/>
      <c r="G47" s="454">
        <v>220.0</v>
      </c>
      <c r="H47" s="572"/>
      <c r="I47" s="570"/>
      <c r="J47" s="570"/>
      <c r="K47" s="570"/>
      <c r="L47" s="570"/>
      <c r="M47" s="570"/>
      <c r="N47" s="570"/>
      <c r="O47" s="570"/>
      <c r="P47" s="570"/>
      <c r="Q47" s="570"/>
      <c r="R47" s="570"/>
      <c r="S47" s="570"/>
      <c r="T47" s="570"/>
      <c r="U47" s="575"/>
      <c r="V47" s="580">
        <f t="shared" si="10"/>
        <v>220</v>
      </c>
      <c r="W47" s="586">
        <f t="shared" si="11"/>
        <v>220</v>
      </c>
      <c r="X47" s="94" t="s">
        <v>80</v>
      </c>
      <c r="Y47" s="588">
        <v>220.0</v>
      </c>
      <c r="Z47" s="590" t="s">
        <v>188</v>
      </c>
      <c r="AA47" s="592" t="s">
        <v>291</v>
      </c>
      <c r="AB47" s="592" t="s">
        <v>232</v>
      </c>
      <c r="AC47" s="595" t="s">
        <v>497</v>
      </c>
      <c r="AD47" s="598" t="s">
        <v>523</v>
      </c>
    </row>
    <row r="48">
      <c r="A48" s="568" t="s">
        <v>471</v>
      </c>
      <c r="B48" s="570" t="s">
        <v>524</v>
      </c>
      <c r="C48" s="570">
        <v>1.0</v>
      </c>
      <c r="D48" s="570"/>
      <c r="E48" s="570"/>
      <c r="F48" s="570"/>
      <c r="G48" s="454">
        <v>1000.0</v>
      </c>
      <c r="H48" s="572"/>
      <c r="I48" s="570"/>
      <c r="J48" s="570"/>
      <c r="K48" s="570"/>
      <c r="L48" s="570"/>
      <c r="M48" s="570"/>
      <c r="N48" s="570"/>
      <c r="O48" s="570"/>
      <c r="P48" s="570"/>
      <c r="Q48" s="570"/>
      <c r="R48" s="570"/>
      <c r="S48" s="570"/>
      <c r="T48" s="570"/>
      <c r="U48" s="575"/>
      <c r="V48" s="580">
        <f t="shared" si="10"/>
        <v>1000</v>
      </c>
      <c r="W48" s="586">
        <f t="shared" si="11"/>
        <v>1000</v>
      </c>
      <c r="X48" s="94" t="s">
        <v>80</v>
      </c>
      <c r="Y48" s="588">
        <v>1000.0</v>
      </c>
      <c r="Z48" s="590" t="s">
        <v>208</v>
      </c>
      <c r="AA48" s="592" t="s">
        <v>291</v>
      </c>
      <c r="AB48" s="592" t="s">
        <v>232</v>
      </c>
      <c r="AC48" s="595" t="s">
        <v>525</v>
      </c>
      <c r="AD48" s="598" t="s">
        <v>526</v>
      </c>
    </row>
    <row r="49">
      <c r="A49" s="568" t="s">
        <v>471</v>
      </c>
      <c r="B49" s="570" t="s">
        <v>527</v>
      </c>
      <c r="C49" s="570">
        <v>1.0</v>
      </c>
      <c r="D49" s="570"/>
      <c r="E49" s="570"/>
      <c r="F49" s="570"/>
      <c r="G49" s="570"/>
      <c r="H49" s="570"/>
      <c r="I49" s="570"/>
      <c r="J49" s="570"/>
      <c r="K49" s="570"/>
      <c r="L49" s="570"/>
      <c r="M49" s="570"/>
      <c r="N49" s="570"/>
      <c r="O49" s="570"/>
      <c r="P49" s="628">
        <v>5499.0</v>
      </c>
      <c r="Q49" s="570"/>
      <c r="R49" s="570"/>
      <c r="S49" s="570"/>
      <c r="T49" s="570"/>
      <c r="U49" s="575"/>
      <c r="V49" s="580">
        <f t="shared" si="10"/>
        <v>0</v>
      </c>
      <c r="W49" s="586">
        <f t="shared" si="11"/>
        <v>5499</v>
      </c>
      <c r="X49" s="94" t="s">
        <v>80</v>
      </c>
      <c r="Y49" s="588">
        <v>5499.0</v>
      </c>
      <c r="Z49" s="590" t="s">
        <v>93</v>
      </c>
      <c r="AA49" s="592" t="s">
        <v>494</v>
      </c>
      <c r="AB49" s="592" t="s">
        <v>530</v>
      </c>
      <c r="AC49" s="595" t="s">
        <v>531</v>
      </c>
      <c r="AD49" s="598" t="s">
        <v>532</v>
      </c>
    </row>
    <row r="50">
      <c r="A50" s="568" t="s">
        <v>471</v>
      </c>
      <c r="B50" s="570" t="s">
        <v>533</v>
      </c>
      <c r="C50" s="570">
        <v>1.0</v>
      </c>
      <c r="D50" s="570"/>
      <c r="E50" s="570"/>
      <c r="F50" s="570"/>
      <c r="G50" s="570"/>
      <c r="H50" s="570"/>
      <c r="I50" s="570"/>
      <c r="J50" s="570"/>
      <c r="K50" s="570"/>
      <c r="L50" s="570"/>
      <c r="M50" s="570"/>
      <c r="N50" s="570"/>
      <c r="O50" s="570"/>
      <c r="P50" s="628">
        <v>250.0</v>
      </c>
      <c r="Q50" s="570"/>
      <c r="R50" s="570"/>
      <c r="S50" s="570"/>
      <c r="T50" s="570"/>
      <c r="U50" s="575"/>
      <c r="V50" s="580">
        <f t="shared" si="10"/>
        <v>0</v>
      </c>
      <c r="W50" s="586">
        <f t="shared" si="11"/>
        <v>250</v>
      </c>
      <c r="X50" s="94" t="s">
        <v>80</v>
      </c>
      <c r="Y50" s="588">
        <v>250.0</v>
      </c>
      <c r="Z50" s="590" t="s">
        <v>93</v>
      </c>
      <c r="AA50" s="592" t="s">
        <v>412</v>
      </c>
      <c r="AB50" s="592" t="s">
        <v>530</v>
      </c>
      <c r="AC50" s="595" t="s">
        <v>531</v>
      </c>
      <c r="AD50" s="598" t="s">
        <v>536</v>
      </c>
    </row>
    <row r="51">
      <c r="A51" s="568" t="s">
        <v>471</v>
      </c>
      <c r="B51" s="570" t="s">
        <v>537</v>
      </c>
      <c r="C51" s="570">
        <v>1.0</v>
      </c>
      <c r="D51" s="570"/>
      <c r="E51" s="570"/>
      <c r="F51" s="570"/>
      <c r="G51" s="570"/>
      <c r="H51" s="570"/>
      <c r="I51" s="570"/>
      <c r="J51" s="570"/>
      <c r="K51" s="570"/>
      <c r="L51" s="570"/>
      <c r="M51" s="570"/>
      <c r="N51" s="570"/>
      <c r="O51" s="570"/>
      <c r="P51" s="628">
        <v>250.0</v>
      </c>
      <c r="Q51" s="570"/>
      <c r="R51" s="570"/>
      <c r="S51" s="570"/>
      <c r="T51" s="570"/>
      <c r="U51" s="575"/>
      <c r="V51" s="580">
        <f t="shared" si="10"/>
        <v>0</v>
      </c>
      <c r="W51" s="586">
        <f t="shared" si="11"/>
        <v>250</v>
      </c>
      <c r="X51" s="94" t="s">
        <v>80</v>
      </c>
      <c r="Y51" s="588">
        <v>250.0</v>
      </c>
      <c r="Z51" s="590" t="s">
        <v>188</v>
      </c>
      <c r="AA51" s="592" t="s">
        <v>388</v>
      </c>
      <c r="AB51" s="592" t="s">
        <v>530</v>
      </c>
      <c r="AC51" s="595" t="s">
        <v>531</v>
      </c>
      <c r="AD51" s="598" t="s">
        <v>543</v>
      </c>
    </row>
    <row r="52">
      <c r="A52" s="568" t="s">
        <v>471</v>
      </c>
      <c r="B52" s="570" t="s">
        <v>544</v>
      </c>
      <c r="C52" s="570">
        <v>1.0</v>
      </c>
      <c r="D52" s="570"/>
      <c r="E52" s="570"/>
      <c r="F52" s="570"/>
      <c r="G52" s="570"/>
      <c r="H52" s="570"/>
      <c r="I52" s="570"/>
      <c r="J52" s="570"/>
      <c r="K52" s="570"/>
      <c r="L52" s="570"/>
      <c r="M52" s="570"/>
      <c r="N52" s="570"/>
      <c r="O52" s="570"/>
      <c r="P52" s="628">
        <v>300.0</v>
      </c>
      <c r="Q52" s="570"/>
      <c r="R52" s="570"/>
      <c r="S52" s="570"/>
      <c r="T52" s="570"/>
      <c r="U52" s="575"/>
      <c r="V52" s="580">
        <f t="shared" si="10"/>
        <v>0</v>
      </c>
      <c r="W52" s="586">
        <f t="shared" si="11"/>
        <v>300</v>
      </c>
      <c r="X52" s="94" t="s">
        <v>80</v>
      </c>
      <c r="Y52" s="650">
        <v>300.0</v>
      </c>
      <c r="Z52" s="652" t="s">
        <v>188</v>
      </c>
      <c r="AA52" s="654" t="s">
        <v>291</v>
      </c>
      <c r="AB52" s="654" t="s">
        <v>530</v>
      </c>
      <c r="AC52" s="656" t="s">
        <v>531</v>
      </c>
      <c r="AD52" s="658" t="s">
        <v>547</v>
      </c>
    </row>
    <row r="53">
      <c r="A53" s="660"/>
      <c r="B53" s="663" t="s">
        <v>551</v>
      </c>
      <c r="C53" s="663"/>
      <c r="D53" s="667">
        <f t="shared" ref="D53:W53" si="12">SUM(D43:D52)</f>
        <v>0</v>
      </c>
      <c r="E53" s="667">
        <f t="shared" si="12"/>
        <v>0</v>
      </c>
      <c r="F53" s="667">
        <f t="shared" si="12"/>
        <v>0</v>
      </c>
      <c r="G53" s="667">
        <f t="shared" si="12"/>
        <v>5239</v>
      </c>
      <c r="H53" s="667">
        <f t="shared" si="12"/>
        <v>0</v>
      </c>
      <c r="I53" s="667">
        <f t="shared" si="12"/>
        <v>0</v>
      </c>
      <c r="J53" s="667">
        <f t="shared" si="12"/>
        <v>0</v>
      </c>
      <c r="K53" s="667">
        <f t="shared" si="12"/>
        <v>0</v>
      </c>
      <c r="L53" s="667">
        <f t="shared" si="12"/>
        <v>0</v>
      </c>
      <c r="M53" s="667">
        <f t="shared" si="12"/>
        <v>0</v>
      </c>
      <c r="N53" s="667">
        <f t="shared" si="12"/>
        <v>0</v>
      </c>
      <c r="O53" s="667">
        <f t="shared" si="12"/>
        <v>0</v>
      </c>
      <c r="P53" s="667">
        <f t="shared" si="12"/>
        <v>6299</v>
      </c>
      <c r="Q53" s="667">
        <f t="shared" si="12"/>
        <v>0</v>
      </c>
      <c r="R53" s="667">
        <f t="shared" si="12"/>
        <v>0</v>
      </c>
      <c r="S53" s="667">
        <f t="shared" si="12"/>
        <v>0</v>
      </c>
      <c r="T53" s="667">
        <f t="shared" si="12"/>
        <v>0</v>
      </c>
      <c r="U53" s="680">
        <f t="shared" si="12"/>
        <v>0</v>
      </c>
      <c r="V53" s="682">
        <f t="shared" si="12"/>
        <v>5239</v>
      </c>
      <c r="W53" s="684">
        <f t="shared" si="12"/>
        <v>11538</v>
      </c>
      <c r="X53" s="547"/>
      <c r="Y53" s="61"/>
      <c r="Z53" s="61"/>
      <c r="AA53" s="61"/>
      <c r="AB53" s="61"/>
      <c r="AC53" s="61"/>
      <c r="AD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547"/>
      <c r="Y54" s="61"/>
      <c r="Z54" s="61"/>
      <c r="AA54" s="61"/>
      <c r="AB54" s="61"/>
      <c r="AC54" s="61"/>
      <c r="AD54" s="61"/>
    </row>
    <row r="55">
      <c r="A55" s="689" t="s">
        <v>568</v>
      </c>
      <c r="B55" s="690"/>
      <c r="C55" s="690"/>
      <c r="D55" s="690"/>
      <c r="E55" s="690"/>
      <c r="F55" s="690"/>
      <c r="G55" s="690"/>
      <c r="H55" s="690"/>
      <c r="I55" s="690"/>
      <c r="J55" s="690"/>
      <c r="K55" s="690"/>
      <c r="L55" s="690"/>
      <c r="M55" s="690"/>
      <c r="N55" s="690"/>
      <c r="O55" s="690"/>
      <c r="P55" s="690"/>
      <c r="Q55" s="690"/>
      <c r="R55" s="690"/>
      <c r="S55" s="690"/>
      <c r="T55" s="690"/>
      <c r="U55" s="690"/>
      <c r="V55" s="691"/>
      <c r="W55" s="693"/>
      <c r="X55" s="547"/>
      <c r="Y55" s="691"/>
      <c r="Z55" s="690"/>
      <c r="AA55" s="690"/>
      <c r="AB55" s="690"/>
      <c r="AC55" s="690"/>
      <c r="AD55" s="693"/>
    </row>
    <row r="56">
      <c r="A56" s="695" t="s">
        <v>568</v>
      </c>
      <c r="B56" s="697" t="s">
        <v>572</v>
      </c>
      <c r="C56" s="697">
        <v>1.0</v>
      </c>
      <c r="D56" s="697"/>
      <c r="E56" s="697"/>
      <c r="F56" s="697"/>
      <c r="G56" s="698">
        <v>800.0</v>
      </c>
      <c r="H56" s="697"/>
      <c r="I56" s="697"/>
      <c r="J56" s="697"/>
      <c r="K56" s="697"/>
      <c r="L56" s="697"/>
      <c r="M56" s="697"/>
      <c r="N56" s="697"/>
      <c r="O56" s="697"/>
      <c r="P56" s="697"/>
      <c r="Q56" s="697"/>
      <c r="R56" s="697"/>
      <c r="S56" s="697"/>
      <c r="T56" s="697"/>
      <c r="U56" s="700"/>
      <c r="V56" s="703">
        <f t="shared" ref="V56:V59" si="13">SUM(D56:O56)</f>
        <v>800</v>
      </c>
      <c r="W56" s="704">
        <f t="shared" ref="W56:W59" si="14">SUM(D56:U56)</f>
        <v>800</v>
      </c>
      <c r="X56" s="94" t="s">
        <v>80</v>
      </c>
      <c r="Y56" s="706">
        <v>800.0</v>
      </c>
      <c r="Z56" s="708" t="s">
        <v>208</v>
      </c>
      <c r="AA56" s="710" t="s">
        <v>291</v>
      </c>
      <c r="AB56" s="710" t="s">
        <v>232</v>
      </c>
      <c r="AC56" s="712" t="s">
        <v>578</v>
      </c>
      <c r="AD56" s="714" t="s">
        <v>579</v>
      </c>
    </row>
    <row r="57">
      <c r="A57" s="695" t="s">
        <v>568</v>
      </c>
      <c r="B57" s="697" t="s">
        <v>580</v>
      </c>
      <c r="C57" s="697">
        <v>18.0</v>
      </c>
      <c r="D57" s="698">
        <v>50.0</v>
      </c>
      <c r="E57" s="698">
        <v>50.0</v>
      </c>
      <c r="F57" s="698">
        <v>50.0</v>
      </c>
      <c r="G57" s="698">
        <v>50.0</v>
      </c>
      <c r="H57" s="698">
        <v>50.0</v>
      </c>
      <c r="I57" s="698">
        <v>50.0</v>
      </c>
      <c r="J57" s="698">
        <v>50.0</v>
      </c>
      <c r="K57" s="698">
        <v>50.0</v>
      </c>
      <c r="L57" s="698">
        <v>50.0</v>
      </c>
      <c r="M57" s="698">
        <v>50.0</v>
      </c>
      <c r="N57" s="698">
        <v>50.0</v>
      </c>
      <c r="O57" s="698">
        <v>50.0</v>
      </c>
      <c r="P57" s="698">
        <v>50.0</v>
      </c>
      <c r="Q57" s="698">
        <v>50.0</v>
      </c>
      <c r="R57" s="698">
        <v>50.0</v>
      </c>
      <c r="S57" s="698">
        <v>50.0</v>
      </c>
      <c r="T57" s="698">
        <v>50.0</v>
      </c>
      <c r="U57" s="721">
        <v>50.0</v>
      </c>
      <c r="V57" s="703">
        <f t="shared" si="13"/>
        <v>600</v>
      </c>
      <c r="W57" s="704">
        <f t="shared" si="14"/>
        <v>900</v>
      </c>
      <c r="X57" s="94" t="s">
        <v>124</v>
      </c>
      <c r="Y57" s="706">
        <v>50.0</v>
      </c>
      <c r="Z57" s="708" t="s">
        <v>208</v>
      </c>
      <c r="AA57" s="710" t="s">
        <v>584</v>
      </c>
      <c r="AB57" s="710" t="s">
        <v>585</v>
      </c>
      <c r="AC57" s="712" t="s">
        <v>586</v>
      </c>
      <c r="AD57" s="714" t="s">
        <v>587</v>
      </c>
    </row>
    <row r="58">
      <c r="A58" s="695" t="s">
        <v>568</v>
      </c>
      <c r="B58" s="697" t="s">
        <v>589</v>
      </c>
      <c r="C58" s="697">
        <v>1.0</v>
      </c>
      <c r="D58" s="698">
        <v>500.0</v>
      </c>
      <c r="E58" s="697"/>
      <c r="F58" s="697"/>
      <c r="G58" s="697"/>
      <c r="H58" s="697"/>
      <c r="I58" s="697"/>
      <c r="J58" s="697"/>
      <c r="K58" s="697"/>
      <c r="L58" s="697"/>
      <c r="M58" s="697"/>
      <c r="N58" s="697"/>
      <c r="O58" s="697"/>
      <c r="P58" s="697"/>
      <c r="Q58" s="697"/>
      <c r="R58" s="697"/>
      <c r="S58" s="697"/>
      <c r="T58" s="697"/>
      <c r="U58" s="700"/>
      <c r="V58" s="703">
        <f t="shared" si="13"/>
        <v>500</v>
      </c>
      <c r="W58" s="704">
        <f t="shared" si="14"/>
        <v>500</v>
      </c>
      <c r="X58" s="94" t="s">
        <v>124</v>
      </c>
      <c r="Y58" s="706">
        <v>500.0</v>
      </c>
      <c r="Z58" s="708" t="s">
        <v>208</v>
      </c>
      <c r="AA58" s="710" t="s">
        <v>595</v>
      </c>
      <c r="AB58" s="710" t="s">
        <v>101</v>
      </c>
      <c r="AC58" s="712" t="s">
        <v>596</v>
      </c>
      <c r="AD58" s="714" t="s">
        <v>597</v>
      </c>
    </row>
    <row r="59">
      <c r="A59" s="695" t="s">
        <v>568</v>
      </c>
      <c r="B59" s="697" t="s">
        <v>598</v>
      </c>
      <c r="C59" s="697">
        <v>1.0</v>
      </c>
      <c r="D59" s="698">
        <v>144.44</v>
      </c>
      <c r="E59" s="698">
        <v>144.44</v>
      </c>
      <c r="F59" s="698">
        <v>144.44</v>
      </c>
      <c r="G59" s="698">
        <v>144.44</v>
      </c>
      <c r="H59" s="698">
        <v>144.44</v>
      </c>
      <c r="I59" s="698">
        <v>144.44</v>
      </c>
      <c r="J59" s="698">
        <v>144.44</v>
      </c>
      <c r="K59" s="698">
        <v>144.44</v>
      </c>
      <c r="L59" s="698">
        <v>144.44</v>
      </c>
      <c r="M59" s="698">
        <v>144.44</v>
      </c>
      <c r="N59" s="698">
        <v>144.44</v>
      </c>
      <c r="O59" s="698">
        <v>144.44</v>
      </c>
      <c r="P59" s="698">
        <v>144.44</v>
      </c>
      <c r="Q59" s="698">
        <v>144.44</v>
      </c>
      <c r="R59" s="698">
        <v>144.44</v>
      </c>
      <c r="S59" s="698">
        <v>144.44</v>
      </c>
      <c r="T59" s="698">
        <v>144.44</v>
      </c>
      <c r="U59" s="721">
        <v>144.52</v>
      </c>
      <c r="V59" s="703">
        <f t="shared" si="13"/>
        <v>1733.28</v>
      </c>
      <c r="W59" s="704">
        <f t="shared" si="14"/>
        <v>2600</v>
      </c>
      <c r="X59" s="94" t="s">
        <v>124</v>
      </c>
      <c r="Y59" s="726">
        <v>2600.0</v>
      </c>
      <c r="Z59" s="727" t="s">
        <v>208</v>
      </c>
      <c r="AA59" s="729" t="s">
        <v>599</v>
      </c>
      <c r="AB59" s="729" t="s">
        <v>601</v>
      </c>
      <c r="AC59" s="730" t="s">
        <v>603</v>
      </c>
      <c r="AD59" s="731" t="s">
        <v>605</v>
      </c>
    </row>
    <row r="60">
      <c r="A60" s="733"/>
      <c r="B60" s="736" t="s">
        <v>612</v>
      </c>
      <c r="C60" s="736"/>
      <c r="D60" s="738">
        <f t="shared" ref="D60:W60" si="15">SUM(D56:D59)</f>
        <v>694.44</v>
      </c>
      <c r="E60" s="738">
        <f t="shared" si="15"/>
        <v>194.44</v>
      </c>
      <c r="F60" s="738">
        <f t="shared" si="15"/>
        <v>194.44</v>
      </c>
      <c r="G60" s="738">
        <f t="shared" si="15"/>
        <v>994.44</v>
      </c>
      <c r="H60" s="738">
        <f t="shared" si="15"/>
        <v>194.44</v>
      </c>
      <c r="I60" s="738">
        <f t="shared" si="15"/>
        <v>194.44</v>
      </c>
      <c r="J60" s="738">
        <f t="shared" si="15"/>
        <v>194.44</v>
      </c>
      <c r="K60" s="738">
        <f t="shared" si="15"/>
        <v>194.44</v>
      </c>
      <c r="L60" s="738">
        <f t="shared" si="15"/>
        <v>194.44</v>
      </c>
      <c r="M60" s="738">
        <f t="shared" si="15"/>
        <v>194.44</v>
      </c>
      <c r="N60" s="738">
        <f t="shared" si="15"/>
        <v>194.44</v>
      </c>
      <c r="O60" s="738">
        <f t="shared" si="15"/>
        <v>194.44</v>
      </c>
      <c r="P60" s="738">
        <f t="shared" si="15"/>
        <v>194.44</v>
      </c>
      <c r="Q60" s="738">
        <f t="shared" si="15"/>
        <v>194.44</v>
      </c>
      <c r="R60" s="738">
        <f t="shared" si="15"/>
        <v>194.44</v>
      </c>
      <c r="S60" s="738">
        <f t="shared" si="15"/>
        <v>194.44</v>
      </c>
      <c r="T60" s="738">
        <f t="shared" si="15"/>
        <v>194.44</v>
      </c>
      <c r="U60" s="747">
        <f t="shared" si="15"/>
        <v>194.52</v>
      </c>
      <c r="V60" s="748">
        <f t="shared" si="15"/>
        <v>3633.28</v>
      </c>
      <c r="W60" s="750">
        <f t="shared" si="15"/>
        <v>4800</v>
      </c>
      <c r="X60" s="547"/>
      <c r="Y60" s="61"/>
      <c r="Z60" s="61"/>
      <c r="AA60" s="61"/>
      <c r="AB60" s="61"/>
      <c r="AC60" s="61"/>
      <c r="AD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547"/>
      <c r="Y61" s="61"/>
      <c r="Z61" s="61"/>
      <c r="AA61" s="61"/>
      <c r="AB61" s="61"/>
      <c r="AC61" s="61"/>
      <c r="AD61" s="61"/>
    </row>
    <row r="62">
      <c r="A62" s="756" t="s">
        <v>617</v>
      </c>
      <c r="B62" s="758"/>
      <c r="C62" s="758"/>
      <c r="D62" s="758"/>
      <c r="E62" s="758"/>
      <c r="F62" s="758"/>
      <c r="G62" s="758"/>
      <c r="H62" s="758"/>
      <c r="I62" s="758"/>
      <c r="J62" s="758"/>
      <c r="K62" s="758"/>
      <c r="L62" s="758"/>
      <c r="M62" s="758"/>
      <c r="N62" s="758"/>
      <c r="O62" s="758"/>
      <c r="P62" s="758"/>
      <c r="Q62" s="758"/>
      <c r="R62" s="758"/>
      <c r="S62" s="758"/>
      <c r="T62" s="758"/>
      <c r="U62" s="758"/>
      <c r="V62" s="762"/>
      <c r="W62" s="764"/>
      <c r="X62" s="365"/>
      <c r="Y62" s="762"/>
      <c r="Z62" s="758"/>
      <c r="AA62" s="758"/>
      <c r="AB62" s="758"/>
      <c r="AC62" s="758"/>
      <c r="AD62" s="764"/>
    </row>
    <row r="63">
      <c r="A63" s="767" t="s">
        <v>617</v>
      </c>
      <c r="B63" s="771" t="s">
        <v>624</v>
      </c>
      <c r="C63" s="771"/>
      <c r="D63" s="773">
        <v>38.71</v>
      </c>
      <c r="E63" s="773">
        <v>38.71</v>
      </c>
      <c r="F63" s="773">
        <v>51.61</v>
      </c>
      <c r="G63" s="773">
        <v>51.61</v>
      </c>
      <c r="H63" s="773">
        <v>64.52</v>
      </c>
      <c r="I63" s="773">
        <v>64.52</v>
      </c>
      <c r="J63" s="773">
        <v>64.52</v>
      </c>
      <c r="K63" s="773">
        <v>64.52</v>
      </c>
      <c r="L63" s="773">
        <v>64.52</v>
      </c>
      <c r="M63" s="773">
        <v>77.42</v>
      </c>
      <c r="N63" s="773">
        <v>77.42</v>
      </c>
      <c r="O63" s="773">
        <v>77.42</v>
      </c>
      <c r="P63" s="773">
        <v>77.42</v>
      </c>
      <c r="Q63" s="773">
        <v>77.42</v>
      </c>
      <c r="R63" s="773">
        <v>77.42</v>
      </c>
      <c r="S63" s="773">
        <v>77.42</v>
      </c>
      <c r="T63" s="773">
        <v>77.42</v>
      </c>
      <c r="U63" s="776">
        <v>77.4</v>
      </c>
      <c r="V63" s="777">
        <f t="shared" ref="V63:V67" si="16">SUM(D63:O63)</f>
        <v>735.5</v>
      </c>
      <c r="W63" s="782">
        <f t="shared" ref="W63:W67" si="17">SUM(D63:U63)</f>
        <v>1200</v>
      </c>
      <c r="X63" s="94" t="s">
        <v>124</v>
      </c>
      <c r="Y63" s="784"/>
      <c r="Z63" s="786" t="s">
        <v>188</v>
      </c>
      <c r="AA63" s="787" t="s">
        <v>628</v>
      </c>
      <c r="AB63" s="787" t="s">
        <v>585</v>
      </c>
      <c r="AC63" s="789" t="s">
        <v>629</v>
      </c>
      <c r="AD63" s="791" t="s">
        <v>631</v>
      </c>
    </row>
    <row r="64">
      <c r="A64" s="767" t="s">
        <v>617</v>
      </c>
      <c r="B64" s="771" t="s">
        <v>635</v>
      </c>
      <c r="C64" s="771"/>
      <c r="D64" s="771"/>
      <c r="E64" s="773">
        <v>93.57</v>
      </c>
      <c r="F64" s="773">
        <v>112.28</v>
      </c>
      <c r="G64" s="773">
        <v>130.99</v>
      </c>
      <c r="H64" s="773">
        <v>149.71</v>
      </c>
      <c r="I64" s="773">
        <v>168.42</v>
      </c>
      <c r="J64" s="773">
        <v>187.13</v>
      </c>
      <c r="K64" s="773">
        <v>187.13</v>
      </c>
      <c r="L64" s="773">
        <v>187.13</v>
      </c>
      <c r="M64" s="773">
        <v>205.85</v>
      </c>
      <c r="N64" s="773">
        <v>205.85</v>
      </c>
      <c r="O64" s="773">
        <v>224.56</v>
      </c>
      <c r="P64" s="773">
        <v>224.56</v>
      </c>
      <c r="Q64" s="773">
        <v>224.56</v>
      </c>
      <c r="R64" s="773">
        <v>224.56</v>
      </c>
      <c r="S64" s="773">
        <v>224.56</v>
      </c>
      <c r="T64" s="773">
        <v>224.56</v>
      </c>
      <c r="U64" s="776">
        <v>224.58</v>
      </c>
      <c r="V64" s="777">
        <f t="shared" si="16"/>
        <v>1852.62</v>
      </c>
      <c r="W64" s="782">
        <f t="shared" si="17"/>
        <v>3200</v>
      </c>
      <c r="X64" s="94" t="s">
        <v>124</v>
      </c>
      <c r="Y64" s="784"/>
      <c r="Z64" s="786" t="s">
        <v>188</v>
      </c>
      <c r="AA64" s="787" t="s">
        <v>638</v>
      </c>
      <c r="AB64" s="787" t="s">
        <v>585</v>
      </c>
      <c r="AC64" s="789" t="s">
        <v>639</v>
      </c>
      <c r="AD64" s="791" t="s">
        <v>641</v>
      </c>
    </row>
    <row r="65">
      <c r="A65" s="767" t="s">
        <v>617</v>
      </c>
      <c r="B65" s="771" t="s">
        <v>642</v>
      </c>
      <c r="C65" s="771"/>
      <c r="D65" s="771"/>
      <c r="E65" s="771"/>
      <c r="F65" s="771"/>
      <c r="G65" s="773">
        <v>243.04</v>
      </c>
      <c r="H65" s="773">
        <v>303.8</v>
      </c>
      <c r="I65" s="773">
        <v>425.32</v>
      </c>
      <c r="J65" s="773">
        <v>486.08</v>
      </c>
      <c r="K65" s="773">
        <v>607.59</v>
      </c>
      <c r="L65" s="773">
        <v>607.59</v>
      </c>
      <c r="M65" s="773">
        <v>668.35</v>
      </c>
      <c r="N65" s="773">
        <v>668.35</v>
      </c>
      <c r="O65" s="773">
        <v>729.11</v>
      </c>
      <c r="P65" s="773">
        <v>729.11</v>
      </c>
      <c r="Q65" s="773">
        <v>789.87</v>
      </c>
      <c r="R65" s="773">
        <v>789.87</v>
      </c>
      <c r="S65" s="773">
        <v>850.63</v>
      </c>
      <c r="T65" s="773">
        <v>850.63</v>
      </c>
      <c r="U65" s="776">
        <v>850.66</v>
      </c>
      <c r="V65" s="777">
        <f t="shared" si="16"/>
        <v>4739.23</v>
      </c>
      <c r="W65" s="782">
        <f t="shared" si="17"/>
        <v>9600</v>
      </c>
      <c r="X65" s="94" t="s">
        <v>124</v>
      </c>
      <c r="Y65" s="784"/>
      <c r="Z65" s="786" t="s">
        <v>188</v>
      </c>
      <c r="AA65" s="787" t="s">
        <v>645</v>
      </c>
      <c r="AB65" s="787" t="s">
        <v>585</v>
      </c>
      <c r="AC65" s="789" t="s">
        <v>646</v>
      </c>
      <c r="AD65" s="791" t="s">
        <v>647</v>
      </c>
    </row>
    <row r="66">
      <c r="A66" s="767" t="s">
        <v>617</v>
      </c>
      <c r="B66" s="771" t="s">
        <v>648</v>
      </c>
      <c r="C66" s="771"/>
      <c r="D66" s="771"/>
      <c r="E66" s="771"/>
      <c r="F66" s="771"/>
      <c r="G66" s="771"/>
      <c r="H66" s="771"/>
      <c r="I66" s="771"/>
      <c r="J66" s="771"/>
      <c r="K66" s="773">
        <v>2625.0</v>
      </c>
      <c r="L66" s="771"/>
      <c r="M66" s="771"/>
      <c r="N66" s="773">
        <v>2625.0</v>
      </c>
      <c r="O66" s="771"/>
      <c r="P66" s="771"/>
      <c r="Q66" s="773">
        <v>2625.0</v>
      </c>
      <c r="R66" s="771"/>
      <c r="S66" s="771"/>
      <c r="T66" s="773">
        <v>2625.0</v>
      </c>
      <c r="U66" s="814"/>
      <c r="V66" s="777">
        <f t="shared" si="16"/>
        <v>5250</v>
      </c>
      <c r="W66" s="782">
        <f t="shared" si="17"/>
        <v>10500</v>
      </c>
      <c r="X66" s="94" t="s">
        <v>124</v>
      </c>
      <c r="Y66" s="784"/>
      <c r="Z66" s="786" t="s">
        <v>208</v>
      </c>
      <c r="AA66" s="787" t="s">
        <v>651</v>
      </c>
      <c r="AB66" s="787" t="s">
        <v>585</v>
      </c>
      <c r="AC66" s="789" t="s">
        <v>653</v>
      </c>
      <c r="AD66" s="791" t="s">
        <v>654</v>
      </c>
    </row>
    <row r="67">
      <c r="A67" s="767" t="s">
        <v>617</v>
      </c>
      <c r="B67" s="771" t="s">
        <v>656</v>
      </c>
      <c r="C67" s="771"/>
      <c r="D67" s="773">
        <v>64.43</v>
      </c>
      <c r="E67" s="773">
        <v>77.32</v>
      </c>
      <c r="F67" s="773">
        <v>90.21</v>
      </c>
      <c r="G67" s="773">
        <v>103.09</v>
      </c>
      <c r="H67" s="773">
        <v>115.98</v>
      </c>
      <c r="I67" s="773">
        <v>128.87</v>
      </c>
      <c r="J67" s="773">
        <v>128.87</v>
      </c>
      <c r="K67" s="773">
        <v>141.75</v>
      </c>
      <c r="L67" s="773">
        <v>141.75</v>
      </c>
      <c r="M67" s="773">
        <v>154.64</v>
      </c>
      <c r="N67" s="773">
        <v>154.64</v>
      </c>
      <c r="O67" s="773">
        <v>154.64</v>
      </c>
      <c r="P67" s="773">
        <v>167.53</v>
      </c>
      <c r="Q67" s="773">
        <v>167.53</v>
      </c>
      <c r="R67" s="773">
        <v>167.53</v>
      </c>
      <c r="S67" s="773">
        <v>180.41</v>
      </c>
      <c r="T67" s="773">
        <v>180.41</v>
      </c>
      <c r="U67" s="776">
        <v>180.4</v>
      </c>
      <c r="V67" s="777">
        <f t="shared" si="16"/>
        <v>1456.19</v>
      </c>
      <c r="W67" s="782">
        <f t="shared" si="17"/>
        <v>2500</v>
      </c>
      <c r="X67" s="94" t="s">
        <v>124</v>
      </c>
      <c r="Y67" s="827"/>
      <c r="Z67" s="829" t="s">
        <v>208</v>
      </c>
      <c r="AA67" s="831" t="s">
        <v>660</v>
      </c>
      <c r="AB67" s="831" t="s">
        <v>585</v>
      </c>
      <c r="AC67" s="834" t="s">
        <v>661</v>
      </c>
      <c r="AD67" s="837" t="s">
        <v>662</v>
      </c>
    </row>
    <row r="68">
      <c r="A68" s="838"/>
      <c r="B68" s="841" t="s">
        <v>664</v>
      </c>
      <c r="C68" s="841"/>
      <c r="D68" s="843">
        <f t="shared" ref="D68:W68" si="18">SUM(D63:D67)</f>
        <v>103.14</v>
      </c>
      <c r="E68" s="843">
        <f t="shared" si="18"/>
        <v>209.6</v>
      </c>
      <c r="F68" s="843">
        <f t="shared" si="18"/>
        <v>254.1</v>
      </c>
      <c r="G68" s="843">
        <f t="shared" si="18"/>
        <v>528.73</v>
      </c>
      <c r="H68" s="843">
        <f t="shared" si="18"/>
        <v>634.01</v>
      </c>
      <c r="I68" s="843">
        <f t="shared" si="18"/>
        <v>787.13</v>
      </c>
      <c r="J68" s="843">
        <f t="shared" si="18"/>
        <v>866.6</v>
      </c>
      <c r="K68" s="843">
        <f t="shared" si="18"/>
        <v>3625.99</v>
      </c>
      <c r="L68" s="843">
        <f t="shared" si="18"/>
        <v>1000.99</v>
      </c>
      <c r="M68" s="843">
        <f t="shared" si="18"/>
        <v>1106.26</v>
      </c>
      <c r="N68" s="843">
        <f t="shared" si="18"/>
        <v>3731.26</v>
      </c>
      <c r="O68" s="843">
        <f t="shared" si="18"/>
        <v>1185.73</v>
      </c>
      <c r="P68" s="843">
        <f t="shared" si="18"/>
        <v>1198.62</v>
      </c>
      <c r="Q68" s="843">
        <f t="shared" si="18"/>
        <v>3884.38</v>
      </c>
      <c r="R68" s="843">
        <f t="shared" si="18"/>
        <v>1259.38</v>
      </c>
      <c r="S68" s="843">
        <f t="shared" si="18"/>
        <v>1333.02</v>
      </c>
      <c r="T68" s="843">
        <f t="shared" si="18"/>
        <v>3958.02</v>
      </c>
      <c r="U68" s="845">
        <f t="shared" si="18"/>
        <v>1333.04</v>
      </c>
      <c r="V68" s="846">
        <f t="shared" si="18"/>
        <v>14033.54</v>
      </c>
      <c r="W68" s="849">
        <f t="shared" si="18"/>
        <v>27000</v>
      </c>
      <c r="X68" s="61"/>
      <c r="Y68" s="61"/>
      <c r="Z68" s="61"/>
      <c r="AA68" s="61"/>
      <c r="AB68" s="61"/>
      <c r="AC68" s="61"/>
      <c r="AD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row>
    <row r="70">
      <c r="A70" s="854"/>
      <c r="B70" s="854" t="s">
        <v>685</v>
      </c>
      <c r="C70" s="854"/>
      <c r="D70" s="856">
        <f t="shared" ref="D70:W70" si="19">D18+D24+D40+D53+D60+D68</f>
        <v>37566.58</v>
      </c>
      <c r="E70" s="859">
        <f t="shared" si="19"/>
        <v>404.04</v>
      </c>
      <c r="F70" s="859">
        <f t="shared" si="19"/>
        <v>448.54</v>
      </c>
      <c r="G70" s="859">
        <f t="shared" si="19"/>
        <v>8262.17</v>
      </c>
      <c r="H70" s="859">
        <f t="shared" si="19"/>
        <v>828.45</v>
      </c>
      <c r="I70" s="859">
        <f t="shared" si="19"/>
        <v>981.57</v>
      </c>
      <c r="J70" s="859">
        <f t="shared" si="19"/>
        <v>1061.04</v>
      </c>
      <c r="K70" s="859">
        <f t="shared" si="19"/>
        <v>3820.43</v>
      </c>
      <c r="L70" s="859">
        <f t="shared" si="19"/>
        <v>1195.43</v>
      </c>
      <c r="M70" s="859">
        <f t="shared" si="19"/>
        <v>1300.7</v>
      </c>
      <c r="N70" s="859">
        <f t="shared" si="19"/>
        <v>3925.7</v>
      </c>
      <c r="O70" s="859">
        <f t="shared" si="19"/>
        <v>1670.17</v>
      </c>
      <c r="P70" s="859">
        <f t="shared" si="19"/>
        <v>7692.06</v>
      </c>
      <c r="Q70" s="859">
        <f t="shared" si="19"/>
        <v>4078.82</v>
      </c>
      <c r="R70" s="859">
        <f t="shared" si="19"/>
        <v>1453.82</v>
      </c>
      <c r="S70" s="859">
        <f t="shared" si="19"/>
        <v>1527.46</v>
      </c>
      <c r="T70" s="859">
        <f t="shared" si="19"/>
        <v>4152.46</v>
      </c>
      <c r="U70" s="859">
        <f t="shared" si="19"/>
        <v>1527.56</v>
      </c>
      <c r="V70" s="866">
        <f t="shared" si="19"/>
        <v>61464.82</v>
      </c>
      <c r="W70" s="867">
        <f t="shared" si="19"/>
        <v>81897</v>
      </c>
      <c r="X70" s="61"/>
      <c r="Y70" s="61"/>
      <c r="Z70" s="61"/>
      <c r="AA70" s="61"/>
      <c r="AB70" s="61"/>
      <c r="AC70" s="61"/>
      <c r="AD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row>
    <row r="73">
      <c r="A73" s="61"/>
      <c r="B73" s="870" t="s">
        <v>553</v>
      </c>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row>
    <row r="74">
      <c r="A74" s="61"/>
      <c r="B74" s="874" t="s">
        <v>630</v>
      </c>
      <c r="C74" s="875" t="s">
        <v>143</v>
      </c>
      <c r="D74" s="875" t="s">
        <v>144</v>
      </c>
      <c r="E74" s="875" t="s">
        <v>702</v>
      </c>
      <c r="F74" s="877" t="s">
        <v>703</v>
      </c>
      <c r="G74" s="61"/>
      <c r="H74" s="61"/>
      <c r="I74" s="879" t="s">
        <v>705</v>
      </c>
      <c r="J74" s="61"/>
      <c r="K74" s="880"/>
      <c r="L74" s="881"/>
      <c r="M74" s="881"/>
      <c r="N74" s="881"/>
      <c r="O74" s="881"/>
      <c r="P74" s="61"/>
      <c r="Q74" s="61"/>
      <c r="R74" s="61"/>
      <c r="S74" s="61"/>
      <c r="T74" s="61"/>
      <c r="U74" s="61"/>
      <c r="V74" s="61"/>
      <c r="W74" s="61"/>
      <c r="X74" s="61"/>
      <c r="Y74" s="61"/>
      <c r="Z74" s="61"/>
      <c r="AA74" s="61"/>
      <c r="AB74" s="61"/>
      <c r="AC74" s="61"/>
      <c r="AD74" s="61"/>
    </row>
    <row r="75">
      <c r="A75" s="61"/>
      <c r="B75" s="882" t="s">
        <v>55</v>
      </c>
      <c r="C75" s="883">
        <f t="shared" ref="C75:D75" si="20">V18</f>
        <v>27379</v>
      </c>
      <c r="D75" s="883">
        <f t="shared" si="20"/>
        <v>27379</v>
      </c>
      <c r="E75" s="885">
        <f>W18/$W$70</f>
        <v>0.3343101701</v>
      </c>
      <c r="F75" s="886" t="s">
        <v>101</v>
      </c>
      <c r="G75" s="61"/>
      <c r="H75" s="61"/>
      <c r="I75" s="887" t="s">
        <v>714</v>
      </c>
      <c r="J75" s="61"/>
      <c r="K75" s="889"/>
      <c r="L75" s="881"/>
      <c r="M75" s="881"/>
      <c r="N75" s="881"/>
      <c r="O75" s="881"/>
      <c r="P75" s="61"/>
      <c r="Q75" s="61"/>
      <c r="R75" s="61"/>
      <c r="S75" s="61"/>
      <c r="T75" s="61"/>
      <c r="U75" s="61"/>
      <c r="V75" s="61"/>
      <c r="W75" s="61"/>
      <c r="X75" s="61"/>
      <c r="Y75" s="61"/>
      <c r="Z75" s="61"/>
      <c r="AA75" s="61"/>
      <c r="AB75" s="61"/>
      <c r="AC75" s="61"/>
      <c r="AD75" s="61"/>
    </row>
    <row r="76">
      <c r="A76" s="61"/>
      <c r="B76" s="892" t="s">
        <v>323</v>
      </c>
      <c r="C76" s="894">
        <f t="shared" ref="C76:D76" si="21">V24</f>
        <v>1300</v>
      </c>
      <c r="D76" s="894">
        <f t="shared" si="21"/>
        <v>1300</v>
      </c>
      <c r="E76" s="897">
        <f>W24/$W$70</f>
        <v>0.01587359732</v>
      </c>
      <c r="F76" s="898" t="s">
        <v>101</v>
      </c>
      <c r="G76" s="61"/>
      <c r="H76" s="61"/>
      <c r="I76" s="887" t="s">
        <v>723</v>
      </c>
      <c r="J76" s="61"/>
      <c r="K76" s="889"/>
      <c r="L76" s="881"/>
      <c r="M76" s="881"/>
      <c r="N76" s="881"/>
      <c r="O76" s="881"/>
      <c r="P76" s="61"/>
      <c r="Q76" s="61"/>
      <c r="R76" s="61"/>
      <c r="S76" s="61"/>
      <c r="T76" s="61"/>
      <c r="U76" s="61"/>
      <c r="V76" s="61"/>
      <c r="W76" s="61"/>
      <c r="X76" s="61"/>
      <c r="Y76" s="61"/>
      <c r="Z76" s="61"/>
      <c r="AA76" s="61"/>
      <c r="AB76" s="61"/>
      <c r="AC76" s="61"/>
      <c r="AD76" s="61"/>
    </row>
    <row r="77">
      <c r="A77" s="61"/>
      <c r="B77" s="882" t="s">
        <v>373</v>
      </c>
      <c r="C77" s="883">
        <f t="shared" ref="C77:D77" si="22">V40</f>
        <v>9880</v>
      </c>
      <c r="D77" s="883">
        <f t="shared" si="22"/>
        <v>9880</v>
      </c>
      <c r="E77" s="885">
        <f>W40/$W$70</f>
        <v>0.1206393397</v>
      </c>
      <c r="F77" s="886" t="s">
        <v>101</v>
      </c>
      <c r="G77" s="61"/>
      <c r="H77" s="61"/>
      <c r="I77" s="887" t="s">
        <v>729</v>
      </c>
      <c r="J77" s="61"/>
      <c r="K77" s="889"/>
      <c r="L77" s="881"/>
      <c r="M77" s="881"/>
      <c r="N77" s="881"/>
      <c r="O77" s="881"/>
      <c r="P77" s="61"/>
      <c r="Q77" s="61"/>
      <c r="R77" s="61"/>
      <c r="S77" s="61"/>
      <c r="T77" s="61"/>
      <c r="U77" s="61"/>
      <c r="V77" s="61"/>
      <c r="W77" s="61"/>
      <c r="X77" s="61"/>
      <c r="Y77" s="61"/>
      <c r="Z77" s="61"/>
      <c r="AA77" s="61"/>
      <c r="AB77" s="61"/>
      <c r="AC77" s="61"/>
      <c r="AD77" s="61"/>
    </row>
    <row r="78">
      <c r="A78" s="61"/>
      <c r="B78" s="892" t="s">
        <v>471</v>
      </c>
      <c r="C78" s="894">
        <f t="shared" ref="C78:D78" si="23">V53</f>
        <v>5239</v>
      </c>
      <c r="D78" s="894">
        <f t="shared" si="23"/>
        <v>11538</v>
      </c>
      <c r="E78" s="897">
        <f>W53/$W$70</f>
        <v>0.1408842815</v>
      </c>
      <c r="F78" s="898" t="s">
        <v>732</v>
      </c>
      <c r="G78" s="61"/>
      <c r="H78" s="61"/>
      <c r="I78" s="887" t="s">
        <v>734</v>
      </c>
      <c r="J78" s="61"/>
      <c r="K78" s="889"/>
      <c r="L78" s="881"/>
      <c r="M78" s="881"/>
      <c r="N78" s="881"/>
      <c r="O78" s="881"/>
      <c r="P78" s="61"/>
      <c r="Q78" s="61"/>
      <c r="R78" s="61"/>
      <c r="S78" s="61"/>
      <c r="T78" s="61"/>
      <c r="U78" s="61"/>
      <c r="V78" s="61"/>
      <c r="W78" s="61"/>
      <c r="X78" s="61"/>
      <c r="Y78" s="61"/>
      <c r="Z78" s="61"/>
      <c r="AA78" s="61"/>
      <c r="AB78" s="61"/>
      <c r="AC78" s="61"/>
      <c r="AD78" s="61"/>
    </row>
    <row r="79">
      <c r="A79" s="61"/>
      <c r="B79" s="882" t="s">
        <v>568</v>
      </c>
      <c r="C79" s="883">
        <f t="shared" ref="C79:D79" si="24">V60</f>
        <v>3633.28</v>
      </c>
      <c r="D79" s="883">
        <f t="shared" si="24"/>
        <v>4800</v>
      </c>
      <c r="E79" s="885">
        <f>W60/$W$70</f>
        <v>0.0586102055</v>
      </c>
      <c r="F79" s="886" t="s">
        <v>736</v>
      </c>
      <c r="G79" s="61"/>
      <c r="H79" s="61"/>
      <c r="I79" s="887" t="s">
        <v>737</v>
      </c>
      <c r="J79" s="61"/>
      <c r="K79" s="889"/>
      <c r="L79" s="881"/>
      <c r="M79" s="881"/>
      <c r="N79" s="881"/>
      <c r="O79" s="881"/>
      <c r="P79" s="61"/>
      <c r="Q79" s="61"/>
      <c r="R79" s="61"/>
      <c r="S79" s="61"/>
      <c r="T79" s="61"/>
      <c r="U79" s="61"/>
      <c r="V79" s="61"/>
      <c r="W79" s="61"/>
      <c r="X79" s="61"/>
      <c r="Y79" s="61"/>
      <c r="Z79" s="61"/>
      <c r="AA79" s="61"/>
      <c r="AB79" s="61"/>
      <c r="AC79" s="61"/>
      <c r="AD79" s="61"/>
    </row>
    <row r="80">
      <c r="A80" s="61"/>
      <c r="B80" s="892" t="s">
        <v>617</v>
      </c>
      <c r="C80" s="894">
        <f t="shared" ref="C80:D80" si="25">V68</f>
        <v>14033.54</v>
      </c>
      <c r="D80" s="894">
        <f t="shared" si="25"/>
        <v>27000</v>
      </c>
      <c r="E80" s="897">
        <f>W68/$W$70</f>
        <v>0.3296824059</v>
      </c>
      <c r="F80" s="898" t="s">
        <v>738</v>
      </c>
      <c r="G80" s="61"/>
      <c r="H80" s="61"/>
      <c r="I80" s="905"/>
      <c r="J80" s="61"/>
      <c r="K80" s="889"/>
      <c r="L80" s="881"/>
      <c r="M80" s="881"/>
      <c r="N80" s="881"/>
      <c r="O80" s="881"/>
      <c r="P80" s="61"/>
      <c r="Q80" s="61"/>
      <c r="R80" s="61"/>
      <c r="S80" s="61"/>
      <c r="T80" s="61"/>
      <c r="U80" s="61"/>
      <c r="V80" s="61"/>
      <c r="W80" s="61"/>
      <c r="X80" s="61"/>
      <c r="Y80" s="61"/>
      <c r="Z80" s="61"/>
      <c r="AA80" s="61"/>
      <c r="AB80" s="61"/>
      <c r="AC80" s="61"/>
      <c r="AD80" s="61"/>
    </row>
    <row r="81">
      <c r="A81" s="61"/>
      <c r="B81" s="907" t="s">
        <v>659</v>
      </c>
      <c r="C81" s="908">
        <f t="shared" ref="C81:D81" si="26">SUM(C75:C80)</f>
        <v>61464.82</v>
      </c>
      <c r="D81" s="908">
        <f t="shared" si="26"/>
        <v>81897</v>
      </c>
      <c r="E81" s="909">
        <v>1.0</v>
      </c>
      <c r="F81" s="910"/>
      <c r="G81" s="61"/>
      <c r="H81" s="61"/>
      <c r="I81" s="887" t="s">
        <v>745</v>
      </c>
      <c r="J81" s="61"/>
      <c r="K81" s="889"/>
      <c r="L81" s="881"/>
      <c r="M81" s="881"/>
      <c r="N81" s="881"/>
      <c r="O81" s="881"/>
      <c r="P81" s="61"/>
      <c r="Q81" s="61"/>
      <c r="R81" s="61"/>
      <c r="S81" s="61"/>
      <c r="T81" s="61"/>
      <c r="U81" s="61"/>
      <c r="V81" s="61"/>
      <c r="W81" s="61"/>
      <c r="X81" s="61"/>
      <c r="Y81" s="61"/>
      <c r="Z81" s="61"/>
      <c r="AA81" s="61"/>
      <c r="AB81" s="61"/>
      <c r="AC81" s="61"/>
      <c r="AD81" s="61"/>
    </row>
    <row r="82">
      <c r="A82" s="61"/>
      <c r="B82" s="61"/>
      <c r="C82" s="61"/>
      <c r="D82" s="61"/>
      <c r="E82" s="61"/>
      <c r="F82" s="61"/>
      <c r="G82" s="61"/>
      <c r="H82" s="61"/>
      <c r="I82" s="887" t="s">
        <v>746</v>
      </c>
      <c r="J82" s="61"/>
      <c r="K82" s="889"/>
      <c r="L82" s="881"/>
      <c r="M82" s="881"/>
      <c r="N82" s="881"/>
      <c r="O82" s="881"/>
      <c r="P82" s="61"/>
      <c r="Q82" s="61"/>
      <c r="R82" s="61"/>
      <c r="S82" s="61"/>
      <c r="T82" s="61"/>
      <c r="U82" s="61"/>
      <c r="V82" s="61"/>
      <c r="W82" s="61"/>
      <c r="X82" s="61"/>
      <c r="Y82" s="61"/>
      <c r="Z82" s="61"/>
      <c r="AA82" s="61"/>
      <c r="AB82" s="61"/>
      <c r="AC82" s="61"/>
      <c r="AD82" s="61"/>
    </row>
    <row r="83">
      <c r="A83" s="61"/>
      <c r="B83" s="870" t="s">
        <v>747</v>
      </c>
      <c r="C83" s="61"/>
      <c r="D83" s="61"/>
      <c r="E83" s="61"/>
      <c r="F83" s="61"/>
      <c r="G83" s="61"/>
      <c r="H83" s="61"/>
      <c r="I83" s="887" t="s">
        <v>748</v>
      </c>
      <c r="J83" s="61"/>
      <c r="K83" s="889"/>
      <c r="L83" s="881"/>
      <c r="M83" s="881"/>
      <c r="N83" s="881"/>
      <c r="O83" s="881"/>
      <c r="P83" s="61"/>
      <c r="Q83" s="61"/>
      <c r="R83" s="61"/>
      <c r="S83" s="61"/>
      <c r="T83" s="61"/>
      <c r="U83" s="61"/>
      <c r="V83" s="61"/>
      <c r="W83" s="61"/>
      <c r="X83" s="61"/>
      <c r="Y83" s="61"/>
      <c r="Z83" s="61"/>
      <c r="AA83" s="61"/>
      <c r="AB83" s="61"/>
      <c r="AC83" s="61"/>
      <c r="AD83" s="61"/>
    </row>
    <row r="84">
      <c r="A84" s="61"/>
      <c r="B84" s="913" t="s">
        <v>749</v>
      </c>
      <c r="C84" s="914"/>
      <c r="D84" s="917">
        <f>W18+W24+W40+W53+W60</f>
        <v>54897</v>
      </c>
      <c r="E84" s="61"/>
      <c r="F84" s="61"/>
      <c r="G84" s="61"/>
      <c r="H84" s="61"/>
      <c r="I84" s="887" t="s">
        <v>753</v>
      </c>
      <c r="J84" s="61"/>
      <c r="K84" s="889"/>
      <c r="L84" s="881"/>
      <c r="M84" s="881"/>
      <c r="N84" s="881"/>
      <c r="O84" s="881"/>
      <c r="P84" s="61"/>
      <c r="Q84" s="61"/>
      <c r="R84" s="61"/>
      <c r="S84" s="61"/>
      <c r="T84" s="61"/>
      <c r="U84" s="61"/>
      <c r="V84" s="61"/>
      <c r="W84" s="61"/>
      <c r="X84" s="61"/>
      <c r="Y84" s="61"/>
      <c r="Z84" s="61"/>
      <c r="AA84" s="61"/>
      <c r="AB84" s="61"/>
      <c r="AC84" s="61"/>
      <c r="AD84" s="61"/>
    </row>
    <row r="85">
      <c r="A85" s="61"/>
      <c r="B85" s="918" t="s">
        <v>754</v>
      </c>
      <c r="C85" s="920"/>
      <c r="D85" s="922">
        <f>W68</f>
        <v>27000</v>
      </c>
      <c r="E85" s="61"/>
      <c r="F85" s="61"/>
      <c r="G85" s="61"/>
      <c r="H85" s="61"/>
      <c r="I85" s="887" t="s">
        <v>755</v>
      </c>
      <c r="J85" s="61"/>
      <c r="K85" s="889"/>
      <c r="L85" s="881"/>
      <c r="M85" s="881"/>
      <c r="N85" s="881"/>
      <c r="O85" s="881"/>
      <c r="P85" s="61"/>
      <c r="Q85" s="61"/>
      <c r="R85" s="61"/>
      <c r="S85" s="61"/>
      <c r="T85" s="61"/>
      <c r="U85" s="61"/>
      <c r="V85" s="61"/>
      <c r="W85" s="61"/>
      <c r="X85" s="61"/>
      <c r="Y85" s="61"/>
      <c r="Z85" s="61"/>
      <c r="AA85" s="61"/>
      <c r="AB85" s="61"/>
      <c r="AC85" s="61"/>
      <c r="AD85" s="61"/>
    </row>
    <row r="86">
      <c r="A86" s="61"/>
      <c r="B86" s="925" t="s">
        <v>756</v>
      </c>
      <c r="C86" s="926"/>
      <c r="D86" s="927">
        <f>W70</f>
        <v>81897</v>
      </c>
      <c r="E86" s="61"/>
      <c r="F86" s="61"/>
      <c r="G86" s="61"/>
      <c r="H86" s="61"/>
      <c r="I86" s="887" t="s">
        <v>757</v>
      </c>
      <c r="J86" s="61"/>
      <c r="K86" s="889"/>
      <c r="L86" s="881"/>
      <c r="M86" s="881"/>
      <c r="N86" s="881"/>
      <c r="O86" s="881"/>
      <c r="P86" s="61"/>
      <c r="Q86" s="61"/>
      <c r="R86" s="61"/>
      <c r="S86" s="61"/>
      <c r="T86" s="61"/>
      <c r="U86" s="61"/>
      <c r="V86" s="61"/>
      <c r="W86" s="61"/>
      <c r="X86" s="61"/>
      <c r="Y86" s="61"/>
      <c r="Z86" s="61"/>
      <c r="AA86" s="61"/>
      <c r="AB86" s="61"/>
      <c r="AC86" s="61"/>
      <c r="AD86" s="61"/>
    </row>
    <row r="87">
      <c r="A87" s="61"/>
      <c r="B87" s="918" t="s">
        <v>759</v>
      </c>
      <c r="C87" s="920"/>
      <c r="D87" s="922">
        <f>V70</f>
        <v>61464.82</v>
      </c>
      <c r="E87" s="61"/>
      <c r="F87" s="61"/>
      <c r="G87" s="61"/>
      <c r="H87" s="61"/>
      <c r="I87" s="905"/>
      <c r="J87" s="61"/>
      <c r="K87" s="889"/>
      <c r="L87" s="881"/>
      <c r="M87" s="881"/>
      <c r="N87" s="881"/>
      <c r="O87" s="881"/>
      <c r="P87" s="61"/>
      <c r="Q87" s="61"/>
      <c r="R87" s="61"/>
      <c r="S87" s="61"/>
      <c r="T87" s="61"/>
      <c r="U87" s="61"/>
      <c r="V87" s="61"/>
      <c r="W87" s="61"/>
      <c r="X87" s="61"/>
      <c r="Y87" s="61"/>
      <c r="Z87" s="61"/>
      <c r="AA87" s="61"/>
      <c r="AB87" s="61"/>
      <c r="AC87" s="61"/>
      <c r="AD87" s="61"/>
    </row>
    <row r="88">
      <c r="A88" s="61"/>
      <c r="B88" s="925" t="s">
        <v>761</v>
      </c>
      <c r="C88" s="926"/>
      <c r="D88" s="927">
        <v>900.0</v>
      </c>
      <c r="E88" s="61"/>
      <c r="F88" s="61"/>
      <c r="G88" s="61"/>
      <c r="H88" s="61"/>
      <c r="I88" s="887" t="s">
        <v>762</v>
      </c>
      <c r="J88" s="61"/>
      <c r="K88" s="889"/>
      <c r="L88" s="881"/>
      <c r="M88" s="881"/>
      <c r="N88" s="881"/>
      <c r="O88" s="881"/>
      <c r="P88" s="61"/>
      <c r="Q88" s="61"/>
      <c r="R88" s="61"/>
      <c r="S88" s="61"/>
      <c r="T88" s="61"/>
      <c r="U88" s="61"/>
      <c r="V88" s="61"/>
      <c r="W88" s="61"/>
      <c r="X88" s="61"/>
      <c r="Y88" s="61"/>
      <c r="Z88" s="61"/>
      <c r="AA88" s="61"/>
      <c r="AB88" s="61"/>
      <c r="AC88" s="61"/>
      <c r="AD88" s="61"/>
    </row>
    <row r="89">
      <c r="A89" s="61"/>
      <c r="B89" s="918" t="s">
        <v>763</v>
      </c>
      <c r="C89" s="920"/>
      <c r="D89" s="922">
        <f>D84-D88</f>
        <v>53997</v>
      </c>
      <c r="E89" s="61"/>
      <c r="F89" s="61"/>
      <c r="G89" s="61"/>
      <c r="H89" s="61"/>
      <c r="I89" s="887" t="s">
        <v>766</v>
      </c>
      <c r="J89" s="61"/>
      <c r="K89" s="889"/>
      <c r="L89" s="881"/>
      <c r="M89" s="881"/>
      <c r="N89" s="881"/>
      <c r="O89" s="881"/>
      <c r="P89" s="61"/>
      <c r="Q89" s="61"/>
      <c r="R89" s="61"/>
      <c r="S89" s="61"/>
      <c r="T89" s="61"/>
      <c r="U89" s="61"/>
      <c r="V89" s="61"/>
      <c r="W89" s="61"/>
      <c r="X89" s="61"/>
      <c r="Y89" s="61"/>
      <c r="Z89" s="61"/>
      <c r="AA89" s="61"/>
      <c r="AB89" s="61"/>
      <c r="AC89" s="61"/>
      <c r="AD89" s="61"/>
    </row>
    <row r="90">
      <c r="A90" s="61"/>
      <c r="B90" s="925" t="s">
        <v>768</v>
      </c>
      <c r="C90" s="926"/>
      <c r="D90" s="927">
        <f>D89*0.2</f>
        <v>10799.4</v>
      </c>
      <c r="E90" s="61"/>
      <c r="F90" s="61"/>
      <c r="G90" s="61"/>
      <c r="H90" s="61"/>
      <c r="I90" s="887" t="s">
        <v>773</v>
      </c>
      <c r="J90" s="61"/>
      <c r="K90" s="889"/>
      <c r="L90" s="881"/>
      <c r="M90" s="881"/>
      <c r="N90" s="881"/>
      <c r="O90" s="881"/>
      <c r="P90" s="61"/>
      <c r="Q90" s="61"/>
      <c r="R90" s="61"/>
      <c r="S90" s="61"/>
      <c r="T90" s="61"/>
      <c r="U90" s="61"/>
      <c r="V90" s="61"/>
      <c r="W90" s="61"/>
      <c r="X90" s="61"/>
      <c r="Y90" s="61"/>
      <c r="Z90" s="61"/>
      <c r="AA90" s="61"/>
      <c r="AB90" s="61"/>
      <c r="AC90" s="61"/>
      <c r="AD90" s="61"/>
    </row>
    <row r="91">
      <c r="A91" s="61"/>
      <c r="B91" s="918" t="s">
        <v>775</v>
      </c>
      <c r="C91" s="920"/>
      <c r="D91" s="922">
        <f>D89*1.2+D88</f>
        <v>65696.4</v>
      </c>
      <c r="E91" s="61"/>
      <c r="F91" s="61"/>
      <c r="G91" s="61"/>
      <c r="H91" s="61"/>
      <c r="I91" s="905"/>
      <c r="J91" s="61"/>
      <c r="K91" s="889"/>
      <c r="L91" s="881"/>
      <c r="M91" s="881"/>
      <c r="N91" s="881"/>
      <c r="O91" s="881"/>
      <c r="P91" s="61"/>
      <c r="Q91" s="61"/>
      <c r="R91" s="61"/>
      <c r="S91" s="61"/>
      <c r="T91" s="61"/>
      <c r="U91" s="61"/>
      <c r="V91" s="61"/>
      <c r="W91" s="61"/>
      <c r="X91" s="61"/>
      <c r="Y91" s="61"/>
      <c r="Z91" s="61"/>
      <c r="AA91" s="61"/>
      <c r="AB91" s="61"/>
      <c r="AC91" s="61"/>
      <c r="AD91" s="61"/>
    </row>
    <row r="92">
      <c r="A92" s="61"/>
      <c r="B92" s="925" t="s">
        <v>790</v>
      </c>
      <c r="C92" s="926"/>
      <c r="D92" s="927">
        <v>697500.0</v>
      </c>
      <c r="E92" s="61"/>
      <c r="F92" s="61"/>
      <c r="G92" s="61"/>
      <c r="H92" s="61"/>
      <c r="I92" s="955" t="s">
        <v>791</v>
      </c>
      <c r="J92" s="61"/>
      <c r="K92" s="889"/>
      <c r="L92" s="881"/>
      <c r="M92" s="881"/>
      <c r="N92" s="881"/>
      <c r="O92" s="881"/>
      <c r="P92" s="61"/>
      <c r="Q92" s="61"/>
      <c r="R92" s="61"/>
      <c r="S92" s="61"/>
      <c r="T92" s="61"/>
      <c r="U92" s="61"/>
      <c r="V92" s="61"/>
      <c r="W92" s="61"/>
      <c r="X92" s="61"/>
      <c r="Y92" s="61"/>
      <c r="Z92" s="61"/>
      <c r="AA92" s="61"/>
      <c r="AB92" s="61"/>
      <c r="AC92" s="61"/>
      <c r="AD92" s="61"/>
    </row>
    <row r="93">
      <c r="A93" s="61"/>
      <c r="B93" s="918" t="s">
        <v>793</v>
      </c>
      <c r="C93" s="920"/>
      <c r="D93" s="964">
        <f>D86/D92</f>
        <v>0.1174150538</v>
      </c>
      <c r="E93" s="61"/>
      <c r="F93" s="61"/>
      <c r="G93" s="61"/>
      <c r="H93" s="61"/>
      <c r="I93" s="887" t="s">
        <v>796</v>
      </c>
      <c r="J93" s="61"/>
      <c r="K93" s="889"/>
      <c r="L93" s="881"/>
      <c r="M93" s="881"/>
      <c r="N93" s="881"/>
      <c r="O93" s="881"/>
      <c r="P93" s="61"/>
      <c r="Q93" s="61"/>
      <c r="R93" s="61"/>
      <c r="S93" s="61"/>
      <c r="T93" s="61"/>
      <c r="U93" s="61"/>
      <c r="V93" s="61"/>
      <c r="W93" s="61"/>
      <c r="X93" s="61"/>
      <c r="Y93" s="61"/>
      <c r="Z93" s="61"/>
      <c r="AA93" s="61"/>
      <c r="AB93" s="61"/>
      <c r="AC93" s="61"/>
      <c r="AD93" s="61"/>
    </row>
    <row r="94">
      <c r="A94" s="61"/>
      <c r="B94" s="925" t="s">
        <v>797</v>
      </c>
      <c r="C94" s="926"/>
      <c r="D94" s="927">
        <v>750000.0</v>
      </c>
      <c r="E94" s="61"/>
      <c r="F94" s="61"/>
      <c r="G94" s="61"/>
      <c r="H94" s="61"/>
      <c r="I94" s="887" t="s">
        <v>799</v>
      </c>
      <c r="J94" s="61"/>
      <c r="K94" s="889"/>
      <c r="L94" s="881"/>
      <c r="M94" s="881"/>
      <c r="N94" s="881"/>
      <c r="O94" s="881"/>
      <c r="P94" s="61"/>
      <c r="Q94" s="61"/>
      <c r="R94" s="61"/>
      <c r="S94" s="61"/>
      <c r="T94" s="61"/>
      <c r="U94" s="61"/>
      <c r="V94" s="61"/>
      <c r="W94" s="61"/>
      <c r="X94" s="61"/>
      <c r="Y94" s="61"/>
      <c r="Z94" s="61"/>
      <c r="AA94" s="61"/>
      <c r="AB94" s="61"/>
      <c r="AC94" s="61"/>
      <c r="AD94" s="61"/>
    </row>
    <row r="95">
      <c r="A95" s="61"/>
      <c r="B95" s="969" t="s">
        <v>800</v>
      </c>
      <c r="C95" s="970"/>
      <c r="D95" s="972">
        <f>D86/D94</f>
        <v>0.109196</v>
      </c>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row>
  </sheetData>
  <conditionalFormatting sqref="A5:AD68">
    <cfRule type="expression" dxfId="5" priority="1" stopIfTrue="1">
      <formula>$X5="CapEx"</formula>
    </cfRule>
  </conditionalFormatting>
  <conditionalFormatting sqref="A5:AD68">
    <cfRule type="expression" dxfId="4" priority="2" stopIfTrue="1">
      <formula>$X5="OpEx"</formula>
    </cfRule>
  </conditionalFormatting>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75" outlineLevelRow="1"/>
  <cols>
    <col customWidth="1" min="1" max="1" width="25.14"/>
    <col customWidth="1" min="2" max="2" width="44.43"/>
    <col customWidth="1" min="3" max="23" width="11.86"/>
    <col customWidth="1" min="24" max="24" width="15.86"/>
    <col customWidth="1" min="25" max="25" width="27.29"/>
    <col customWidth="1" min="26" max="26" width="63.0"/>
  </cols>
  <sheetData>
    <row r="1">
      <c r="A1" s="340" t="s">
        <v>320</v>
      </c>
      <c r="B1" s="4"/>
      <c r="C1" s="4"/>
      <c r="D1" s="4"/>
      <c r="E1" s="4"/>
      <c r="F1" s="4"/>
      <c r="G1" s="4"/>
      <c r="H1" s="4"/>
      <c r="I1" s="4"/>
      <c r="J1" s="4"/>
      <c r="K1" s="4"/>
      <c r="L1" s="4"/>
      <c r="M1" s="4"/>
      <c r="N1" s="4"/>
      <c r="O1" s="4"/>
      <c r="P1" s="4"/>
      <c r="Q1" s="4"/>
      <c r="R1" s="4"/>
      <c r="S1" s="4"/>
      <c r="T1" s="4"/>
      <c r="U1" s="4"/>
      <c r="V1" s="4"/>
      <c r="W1" s="4"/>
      <c r="X1" s="4"/>
      <c r="Y1" s="4"/>
      <c r="Z1" s="4"/>
    </row>
    <row r="2" ht="27.0" customHeight="1">
      <c r="A2" s="349" t="s">
        <v>322</v>
      </c>
      <c r="B2" s="351"/>
      <c r="C2" s="351"/>
      <c r="D2" s="351"/>
      <c r="E2" s="351"/>
      <c r="F2" s="351"/>
      <c r="G2" s="351"/>
      <c r="H2" s="351"/>
      <c r="I2" s="351"/>
      <c r="J2" s="351"/>
      <c r="K2" s="351"/>
      <c r="L2" s="351"/>
      <c r="M2" s="351"/>
      <c r="N2" s="351"/>
      <c r="O2" s="351"/>
      <c r="P2" s="351"/>
      <c r="Q2" s="351"/>
      <c r="R2" s="351"/>
      <c r="S2" s="351"/>
      <c r="T2" s="351"/>
      <c r="U2" s="351"/>
      <c r="V2" s="351"/>
      <c r="W2" s="351"/>
      <c r="X2" s="351"/>
      <c r="Y2" s="351"/>
      <c r="Z2" s="351"/>
    </row>
    <row r="3" ht="28.5" customHeight="1">
      <c r="A3" s="358" t="s">
        <v>26</v>
      </c>
      <c r="B3" s="358" t="s">
        <v>31</v>
      </c>
      <c r="C3" s="358" t="s">
        <v>34</v>
      </c>
      <c r="D3" s="358" t="s">
        <v>20</v>
      </c>
      <c r="E3" s="358" t="s">
        <v>21</v>
      </c>
      <c r="F3" s="358" t="s">
        <v>22</v>
      </c>
      <c r="G3" s="358" t="s">
        <v>23</v>
      </c>
      <c r="H3" s="358" t="s">
        <v>24</v>
      </c>
      <c r="I3" s="358" t="s">
        <v>25</v>
      </c>
      <c r="J3" s="358" t="s">
        <v>27</v>
      </c>
      <c r="K3" s="358" t="s">
        <v>28</v>
      </c>
      <c r="L3" s="358" t="s">
        <v>29</v>
      </c>
      <c r="M3" s="358" t="s">
        <v>30</v>
      </c>
      <c r="N3" s="358" t="s">
        <v>32</v>
      </c>
      <c r="O3" s="358" t="s">
        <v>33</v>
      </c>
      <c r="P3" s="358" t="s">
        <v>35</v>
      </c>
      <c r="Q3" s="358" t="s">
        <v>36</v>
      </c>
      <c r="R3" s="358" t="s">
        <v>37</v>
      </c>
      <c r="S3" s="358" t="s">
        <v>38</v>
      </c>
      <c r="T3" s="358" t="s">
        <v>39</v>
      </c>
      <c r="U3" s="358" t="s">
        <v>40</v>
      </c>
      <c r="V3" s="358" t="s">
        <v>41</v>
      </c>
      <c r="W3" s="358" t="s">
        <v>42</v>
      </c>
      <c r="X3" s="366" t="s">
        <v>47</v>
      </c>
      <c r="Y3" s="366" t="s">
        <v>327</v>
      </c>
      <c r="Z3" s="366" t="s">
        <v>328</v>
      </c>
    </row>
    <row r="4">
      <c r="A4" s="368" t="s">
        <v>329</v>
      </c>
      <c r="B4" s="371"/>
      <c r="C4" s="374"/>
      <c r="D4" s="376"/>
      <c r="E4" s="376"/>
      <c r="F4" s="376"/>
      <c r="G4" s="376"/>
      <c r="H4" s="376"/>
      <c r="I4" s="376"/>
      <c r="J4" s="376"/>
      <c r="K4" s="376"/>
      <c r="L4" s="376"/>
      <c r="M4" s="376"/>
      <c r="N4" s="376"/>
      <c r="O4" s="376"/>
      <c r="P4" s="376"/>
      <c r="Q4" s="376"/>
      <c r="R4" s="376"/>
      <c r="S4" s="376"/>
      <c r="T4" s="376"/>
      <c r="U4" s="376"/>
      <c r="V4" s="383"/>
      <c r="W4" s="389"/>
      <c r="X4" s="371"/>
      <c r="Y4" s="371"/>
      <c r="Z4" s="371"/>
    </row>
    <row r="5">
      <c r="A5" s="393" t="s">
        <v>335</v>
      </c>
      <c r="B5" s="393" t="s">
        <v>337</v>
      </c>
      <c r="C5" s="396">
        <v>18.0</v>
      </c>
      <c r="D5" s="399">
        <v>5000.0</v>
      </c>
      <c r="E5" s="399">
        <v>5000.0</v>
      </c>
      <c r="F5" s="399">
        <v>5000.0</v>
      </c>
      <c r="G5" s="399">
        <v>5000.0</v>
      </c>
      <c r="H5" s="399">
        <v>5000.0</v>
      </c>
      <c r="I5" s="399">
        <v>5000.0</v>
      </c>
      <c r="J5" s="399">
        <v>5000.0</v>
      </c>
      <c r="K5" s="399">
        <v>5000.0</v>
      </c>
      <c r="L5" s="399">
        <v>5000.0</v>
      </c>
      <c r="M5" s="399">
        <v>5000.0</v>
      </c>
      <c r="N5" s="399">
        <v>5000.0</v>
      </c>
      <c r="O5" s="399">
        <v>5000.0</v>
      </c>
      <c r="P5" s="399">
        <v>5000.0</v>
      </c>
      <c r="Q5" s="399">
        <v>5000.0</v>
      </c>
      <c r="R5" s="399">
        <v>5000.0</v>
      </c>
      <c r="S5" s="399">
        <v>5000.0</v>
      </c>
      <c r="T5" s="399">
        <v>5000.0</v>
      </c>
      <c r="U5" s="399">
        <v>5000.0</v>
      </c>
      <c r="V5" s="406">
        <f t="shared" ref="V5:V8" si="1">SUM(D5:O5)</f>
        <v>60000</v>
      </c>
      <c r="W5" s="410">
        <f t="shared" ref="W5:W8" si="2">SUM(D5:U5)</f>
        <v>90000</v>
      </c>
      <c r="X5" s="393" t="s">
        <v>124</v>
      </c>
      <c r="Y5" s="393" t="s">
        <v>347</v>
      </c>
      <c r="Z5" s="393" t="s">
        <v>349</v>
      </c>
    </row>
    <row r="6">
      <c r="A6" s="393" t="s">
        <v>335</v>
      </c>
      <c r="B6" s="393" t="s">
        <v>350</v>
      </c>
      <c r="C6" s="396">
        <v>18.0</v>
      </c>
      <c r="D6" s="399">
        <v>50.0</v>
      </c>
      <c r="E6" s="399">
        <v>50.0</v>
      </c>
      <c r="F6" s="399">
        <v>50.0</v>
      </c>
      <c r="G6" s="399">
        <v>50.0</v>
      </c>
      <c r="H6" s="399">
        <v>50.0</v>
      </c>
      <c r="I6" s="399">
        <v>50.0</v>
      </c>
      <c r="J6" s="399">
        <v>50.0</v>
      </c>
      <c r="K6" s="399">
        <v>50.0</v>
      </c>
      <c r="L6" s="399">
        <v>50.0</v>
      </c>
      <c r="M6" s="399">
        <v>50.0</v>
      </c>
      <c r="N6" s="399">
        <v>50.0</v>
      </c>
      <c r="O6" s="399">
        <v>50.0</v>
      </c>
      <c r="P6" s="399">
        <v>50.0</v>
      </c>
      <c r="Q6" s="399">
        <v>50.0</v>
      </c>
      <c r="R6" s="399">
        <v>50.0</v>
      </c>
      <c r="S6" s="399">
        <v>50.0</v>
      </c>
      <c r="T6" s="399">
        <v>50.0</v>
      </c>
      <c r="U6" s="399">
        <v>50.0</v>
      </c>
      <c r="V6" s="406">
        <f t="shared" si="1"/>
        <v>600</v>
      </c>
      <c r="W6" s="410">
        <f t="shared" si="2"/>
        <v>900</v>
      </c>
      <c r="X6" s="393" t="s">
        <v>124</v>
      </c>
      <c r="Y6" s="393" t="s">
        <v>355</v>
      </c>
      <c r="Z6" s="393" t="s">
        <v>356</v>
      </c>
    </row>
    <row r="7">
      <c r="A7" s="393" t="s">
        <v>335</v>
      </c>
      <c r="B7" s="393" t="s">
        <v>357</v>
      </c>
      <c r="C7" s="396">
        <v>1.0</v>
      </c>
      <c r="D7" s="399">
        <v>10000.0</v>
      </c>
      <c r="E7" s="428"/>
      <c r="F7" s="428"/>
      <c r="G7" s="428"/>
      <c r="H7" s="428"/>
      <c r="I7" s="428"/>
      <c r="J7" s="428"/>
      <c r="K7" s="428"/>
      <c r="L7" s="428"/>
      <c r="M7" s="428"/>
      <c r="N7" s="428"/>
      <c r="O7" s="428"/>
      <c r="P7" s="428"/>
      <c r="Q7" s="428"/>
      <c r="R7" s="428"/>
      <c r="S7" s="428"/>
      <c r="T7" s="428"/>
      <c r="U7" s="428"/>
      <c r="V7" s="406">
        <f t="shared" si="1"/>
        <v>10000</v>
      </c>
      <c r="W7" s="410">
        <f t="shared" si="2"/>
        <v>10000</v>
      </c>
      <c r="X7" s="393" t="s">
        <v>359</v>
      </c>
      <c r="Y7" s="393" t="s">
        <v>360</v>
      </c>
      <c r="Z7" s="393" t="s">
        <v>361</v>
      </c>
    </row>
    <row r="8">
      <c r="A8" s="393" t="s">
        <v>335</v>
      </c>
      <c r="B8" s="393" t="s">
        <v>363</v>
      </c>
      <c r="C8" s="396">
        <v>1.0</v>
      </c>
      <c r="D8" s="399">
        <v>5000.0</v>
      </c>
      <c r="E8" s="428"/>
      <c r="F8" s="428"/>
      <c r="G8" s="428"/>
      <c r="H8" s="428"/>
      <c r="I8" s="428"/>
      <c r="J8" s="428"/>
      <c r="K8" s="428"/>
      <c r="L8" s="428"/>
      <c r="M8" s="428"/>
      <c r="N8" s="428"/>
      <c r="O8" s="428"/>
      <c r="P8" s="428"/>
      <c r="Q8" s="428"/>
      <c r="R8" s="428"/>
      <c r="S8" s="428"/>
      <c r="T8" s="428"/>
      <c r="U8" s="428"/>
      <c r="V8" s="406">
        <f t="shared" si="1"/>
        <v>5000</v>
      </c>
      <c r="W8" s="410">
        <f t="shared" si="2"/>
        <v>5000</v>
      </c>
      <c r="X8" s="393" t="s">
        <v>124</v>
      </c>
      <c r="Y8" s="393" t="s">
        <v>365</v>
      </c>
      <c r="Z8" s="393" t="s">
        <v>366</v>
      </c>
    </row>
    <row r="9">
      <c r="A9" s="437"/>
      <c r="B9" s="439" t="s">
        <v>368</v>
      </c>
      <c r="C9" s="440"/>
      <c r="D9" s="442">
        <f t="shared" ref="D9:W9" si="3">SUM(D5:D8)</f>
        <v>20050</v>
      </c>
      <c r="E9" s="442">
        <f t="shared" si="3"/>
        <v>5050</v>
      </c>
      <c r="F9" s="442">
        <f t="shared" si="3"/>
        <v>5050</v>
      </c>
      <c r="G9" s="442">
        <f t="shared" si="3"/>
        <v>5050</v>
      </c>
      <c r="H9" s="442">
        <f t="shared" si="3"/>
        <v>5050</v>
      </c>
      <c r="I9" s="442">
        <f t="shared" si="3"/>
        <v>5050</v>
      </c>
      <c r="J9" s="442">
        <f t="shared" si="3"/>
        <v>5050</v>
      </c>
      <c r="K9" s="442">
        <f t="shared" si="3"/>
        <v>5050</v>
      </c>
      <c r="L9" s="442">
        <f t="shared" si="3"/>
        <v>5050</v>
      </c>
      <c r="M9" s="442">
        <f t="shared" si="3"/>
        <v>5050</v>
      </c>
      <c r="N9" s="442">
        <f t="shared" si="3"/>
        <v>5050</v>
      </c>
      <c r="O9" s="442">
        <f t="shared" si="3"/>
        <v>5050</v>
      </c>
      <c r="P9" s="442">
        <f t="shared" si="3"/>
        <v>5050</v>
      </c>
      <c r="Q9" s="442">
        <f t="shared" si="3"/>
        <v>5050</v>
      </c>
      <c r="R9" s="442">
        <f t="shared" si="3"/>
        <v>5050</v>
      </c>
      <c r="S9" s="442">
        <f t="shared" si="3"/>
        <v>5050</v>
      </c>
      <c r="T9" s="442">
        <f t="shared" si="3"/>
        <v>5050</v>
      </c>
      <c r="U9" s="442">
        <f t="shared" si="3"/>
        <v>5050</v>
      </c>
      <c r="V9" s="453">
        <f t="shared" si="3"/>
        <v>75600</v>
      </c>
      <c r="W9" s="456">
        <f t="shared" si="3"/>
        <v>105900</v>
      </c>
    </row>
    <row r="10">
      <c r="C10" s="427"/>
      <c r="D10" s="428"/>
      <c r="E10" s="428"/>
      <c r="F10" s="428"/>
      <c r="G10" s="428"/>
      <c r="H10" s="428"/>
      <c r="I10" s="428"/>
      <c r="J10" s="428"/>
      <c r="K10" s="428"/>
      <c r="L10" s="428"/>
      <c r="M10" s="428"/>
      <c r="N10" s="428"/>
      <c r="O10" s="428"/>
      <c r="P10" s="428"/>
      <c r="Q10" s="428"/>
      <c r="R10" s="428"/>
      <c r="S10" s="428"/>
      <c r="T10" s="428"/>
      <c r="U10" s="428"/>
      <c r="V10" s="428"/>
      <c r="W10" s="428"/>
    </row>
    <row r="11">
      <c r="A11" s="461" t="s">
        <v>376</v>
      </c>
      <c r="B11" s="465"/>
      <c r="C11" s="468"/>
      <c r="D11" s="470"/>
      <c r="E11" s="470"/>
      <c r="F11" s="470"/>
      <c r="G11" s="470"/>
      <c r="H11" s="470"/>
      <c r="I11" s="470"/>
      <c r="J11" s="470"/>
      <c r="K11" s="470"/>
      <c r="L11" s="470"/>
      <c r="M11" s="470"/>
      <c r="N11" s="470"/>
      <c r="O11" s="470"/>
      <c r="P11" s="470"/>
      <c r="Q11" s="470"/>
      <c r="R11" s="470"/>
      <c r="S11" s="470"/>
      <c r="T11" s="470"/>
      <c r="U11" s="470"/>
      <c r="V11" s="474"/>
      <c r="W11" s="476"/>
      <c r="X11" s="465"/>
      <c r="Y11" s="465"/>
      <c r="Z11" s="465"/>
    </row>
    <row r="12">
      <c r="A12" s="393" t="s">
        <v>382</v>
      </c>
      <c r="B12" s="393" t="s">
        <v>383</v>
      </c>
      <c r="C12" s="396">
        <v>18.0</v>
      </c>
      <c r="D12" s="399">
        <v>100.0</v>
      </c>
      <c r="E12" s="399">
        <v>100.0</v>
      </c>
      <c r="F12" s="399">
        <v>100.0</v>
      </c>
      <c r="G12" s="399">
        <v>100.0</v>
      </c>
      <c r="H12" s="399">
        <v>100.0</v>
      </c>
      <c r="I12" s="399">
        <v>100.0</v>
      </c>
      <c r="J12" s="399">
        <v>100.0</v>
      </c>
      <c r="K12" s="399">
        <v>100.0</v>
      </c>
      <c r="L12" s="399">
        <v>100.0</v>
      </c>
      <c r="M12" s="399">
        <v>100.0</v>
      </c>
      <c r="N12" s="399">
        <v>100.0</v>
      </c>
      <c r="O12" s="399">
        <v>100.0</v>
      </c>
      <c r="P12" s="399">
        <v>100.0</v>
      </c>
      <c r="Q12" s="399">
        <v>100.0</v>
      </c>
      <c r="R12" s="399">
        <v>100.0</v>
      </c>
      <c r="S12" s="399">
        <v>100.0</v>
      </c>
      <c r="T12" s="399">
        <v>100.0</v>
      </c>
      <c r="U12" s="399">
        <v>100.0</v>
      </c>
      <c r="V12" s="406">
        <f t="shared" ref="V12:V16" si="4">SUM(D12:O12)</f>
        <v>1200</v>
      </c>
      <c r="W12" s="410">
        <f t="shared" ref="W12:W16" si="5">SUM(D12:U12)</f>
        <v>1800</v>
      </c>
      <c r="X12" s="393" t="s">
        <v>124</v>
      </c>
      <c r="Y12" s="393" t="s">
        <v>385</v>
      </c>
      <c r="Z12" s="393" t="s">
        <v>386</v>
      </c>
    </row>
    <row r="13">
      <c r="A13" s="393" t="s">
        <v>382</v>
      </c>
      <c r="B13" s="393" t="s">
        <v>387</v>
      </c>
      <c r="C13" s="396">
        <v>18.0</v>
      </c>
      <c r="D13" s="399">
        <v>100.0</v>
      </c>
      <c r="E13" s="399">
        <v>100.0</v>
      </c>
      <c r="F13" s="399">
        <v>100.0</v>
      </c>
      <c r="G13" s="399">
        <v>100.0</v>
      </c>
      <c r="H13" s="399">
        <v>100.0</v>
      </c>
      <c r="I13" s="399">
        <v>100.0</v>
      </c>
      <c r="J13" s="399">
        <v>100.0</v>
      </c>
      <c r="K13" s="399">
        <v>100.0</v>
      </c>
      <c r="L13" s="399">
        <v>100.0</v>
      </c>
      <c r="M13" s="399">
        <v>100.0</v>
      </c>
      <c r="N13" s="399">
        <v>100.0</v>
      </c>
      <c r="O13" s="399">
        <v>100.0</v>
      </c>
      <c r="P13" s="399">
        <v>100.0</v>
      </c>
      <c r="Q13" s="399">
        <v>100.0</v>
      </c>
      <c r="R13" s="399">
        <v>100.0</v>
      </c>
      <c r="S13" s="399">
        <v>100.0</v>
      </c>
      <c r="T13" s="399">
        <v>100.0</v>
      </c>
      <c r="U13" s="399">
        <v>100.0</v>
      </c>
      <c r="V13" s="406">
        <f t="shared" si="4"/>
        <v>1200</v>
      </c>
      <c r="W13" s="410">
        <f t="shared" si="5"/>
        <v>1800</v>
      </c>
      <c r="X13" s="393" t="s">
        <v>124</v>
      </c>
      <c r="Y13" s="393" t="s">
        <v>385</v>
      </c>
      <c r="Z13" s="393" t="s">
        <v>392</v>
      </c>
    </row>
    <row r="14">
      <c r="A14" s="393" t="s">
        <v>382</v>
      </c>
      <c r="B14" s="393" t="s">
        <v>393</v>
      </c>
      <c r="C14" s="396">
        <v>18.0</v>
      </c>
      <c r="D14" s="399">
        <v>250.0</v>
      </c>
      <c r="E14" s="399">
        <v>250.0</v>
      </c>
      <c r="F14" s="399">
        <v>250.0</v>
      </c>
      <c r="G14" s="399">
        <v>250.0</v>
      </c>
      <c r="H14" s="399">
        <v>250.0</v>
      </c>
      <c r="I14" s="399">
        <v>250.0</v>
      </c>
      <c r="J14" s="399">
        <v>250.0</v>
      </c>
      <c r="K14" s="399">
        <v>250.0</v>
      </c>
      <c r="L14" s="399">
        <v>250.0</v>
      </c>
      <c r="M14" s="399">
        <v>250.0</v>
      </c>
      <c r="N14" s="399">
        <v>250.0</v>
      </c>
      <c r="O14" s="399">
        <v>250.0</v>
      </c>
      <c r="P14" s="399">
        <v>250.0</v>
      </c>
      <c r="Q14" s="399">
        <v>250.0</v>
      </c>
      <c r="R14" s="399">
        <v>250.0</v>
      </c>
      <c r="S14" s="399">
        <v>250.0</v>
      </c>
      <c r="T14" s="399">
        <v>250.0</v>
      </c>
      <c r="U14" s="399">
        <v>250.0</v>
      </c>
      <c r="V14" s="406">
        <f t="shared" si="4"/>
        <v>3000</v>
      </c>
      <c r="W14" s="410">
        <f t="shared" si="5"/>
        <v>4500</v>
      </c>
      <c r="X14" s="393" t="s">
        <v>124</v>
      </c>
      <c r="Y14" s="393" t="s">
        <v>399</v>
      </c>
      <c r="Z14" s="393" t="s">
        <v>400</v>
      </c>
    </row>
    <row r="15">
      <c r="A15" s="393" t="s">
        <v>382</v>
      </c>
      <c r="B15" s="393" t="s">
        <v>401</v>
      </c>
      <c r="C15" s="396">
        <v>18.0</v>
      </c>
      <c r="D15" s="399">
        <v>150.0</v>
      </c>
      <c r="E15" s="399">
        <v>150.0</v>
      </c>
      <c r="F15" s="399">
        <v>150.0</v>
      </c>
      <c r="G15" s="399">
        <v>150.0</v>
      </c>
      <c r="H15" s="399">
        <v>150.0</v>
      </c>
      <c r="I15" s="399">
        <v>150.0</v>
      </c>
      <c r="J15" s="399">
        <v>150.0</v>
      </c>
      <c r="K15" s="399">
        <v>150.0</v>
      </c>
      <c r="L15" s="399">
        <v>150.0</v>
      </c>
      <c r="M15" s="399">
        <v>150.0</v>
      </c>
      <c r="N15" s="399">
        <v>150.0</v>
      </c>
      <c r="O15" s="399">
        <v>150.0</v>
      </c>
      <c r="P15" s="399">
        <v>150.0</v>
      </c>
      <c r="Q15" s="399">
        <v>150.0</v>
      </c>
      <c r="R15" s="399">
        <v>150.0</v>
      </c>
      <c r="S15" s="399">
        <v>150.0</v>
      </c>
      <c r="T15" s="399">
        <v>150.0</v>
      </c>
      <c r="U15" s="399">
        <v>150.0</v>
      </c>
      <c r="V15" s="406">
        <f t="shared" si="4"/>
        <v>1800</v>
      </c>
      <c r="W15" s="410">
        <f t="shared" si="5"/>
        <v>2700</v>
      </c>
      <c r="X15" s="393" t="s">
        <v>124</v>
      </c>
      <c r="Y15" s="393" t="s">
        <v>408</v>
      </c>
      <c r="Z15" s="393" t="s">
        <v>410</v>
      </c>
    </row>
    <row r="16">
      <c r="A16" s="393" t="s">
        <v>382</v>
      </c>
      <c r="B16" s="393" t="s">
        <v>411</v>
      </c>
      <c r="C16" s="396">
        <v>1.0</v>
      </c>
      <c r="D16" s="399">
        <v>5000.0</v>
      </c>
      <c r="E16" s="428"/>
      <c r="F16" s="428"/>
      <c r="G16" s="428"/>
      <c r="H16" s="428"/>
      <c r="I16" s="428"/>
      <c r="J16" s="428"/>
      <c r="K16" s="428"/>
      <c r="L16" s="428"/>
      <c r="M16" s="428"/>
      <c r="N16" s="428"/>
      <c r="O16" s="428"/>
      <c r="P16" s="428"/>
      <c r="Q16" s="428"/>
      <c r="R16" s="428"/>
      <c r="S16" s="428"/>
      <c r="T16" s="428"/>
      <c r="U16" s="428"/>
      <c r="V16" s="406">
        <f t="shared" si="4"/>
        <v>5000</v>
      </c>
      <c r="W16" s="410">
        <f t="shared" si="5"/>
        <v>5000</v>
      </c>
      <c r="X16" s="393" t="s">
        <v>80</v>
      </c>
      <c r="Y16" s="393" t="s">
        <v>416</v>
      </c>
      <c r="Z16" s="393" t="s">
        <v>418</v>
      </c>
    </row>
    <row r="17">
      <c r="A17" s="437"/>
      <c r="B17" s="439" t="s">
        <v>420</v>
      </c>
      <c r="C17" s="440"/>
      <c r="D17" s="442">
        <f t="shared" ref="D17:W17" si="6">SUM(D12:D16)</f>
        <v>5600</v>
      </c>
      <c r="E17" s="442">
        <f t="shared" si="6"/>
        <v>600</v>
      </c>
      <c r="F17" s="442">
        <f t="shared" si="6"/>
        <v>600</v>
      </c>
      <c r="G17" s="442">
        <f t="shared" si="6"/>
        <v>600</v>
      </c>
      <c r="H17" s="442">
        <f t="shared" si="6"/>
        <v>600</v>
      </c>
      <c r="I17" s="442">
        <f t="shared" si="6"/>
        <v>600</v>
      </c>
      <c r="J17" s="442">
        <f t="shared" si="6"/>
        <v>600</v>
      </c>
      <c r="K17" s="442">
        <f t="shared" si="6"/>
        <v>600</v>
      </c>
      <c r="L17" s="442">
        <f t="shared" si="6"/>
        <v>600</v>
      </c>
      <c r="M17" s="442">
        <f t="shared" si="6"/>
        <v>600</v>
      </c>
      <c r="N17" s="442">
        <f t="shared" si="6"/>
        <v>600</v>
      </c>
      <c r="O17" s="442">
        <f t="shared" si="6"/>
        <v>600</v>
      </c>
      <c r="P17" s="442">
        <f t="shared" si="6"/>
        <v>600</v>
      </c>
      <c r="Q17" s="442">
        <f t="shared" si="6"/>
        <v>600</v>
      </c>
      <c r="R17" s="442">
        <f t="shared" si="6"/>
        <v>600</v>
      </c>
      <c r="S17" s="442">
        <f t="shared" si="6"/>
        <v>600</v>
      </c>
      <c r="T17" s="442">
        <f t="shared" si="6"/>
        <v>600</v>
      </c>
      <c r="U17" s="442">
        <f t="shared" si="6"/>
        <v>600</v>
      </c>
      <c r="V17" s="453">
        <f t="shared" si="6"/>
        <v>12200</v>
      </c>
      <c r="W17" s="456">
        <f t="shared" si="6"/>
        <v>15800</v>
      </c>
    </row>
    <row r="18">
      <c r="C18" s="427"/>
      <c r="D18" s="428"/>
      <c r="E18" s="428"/>
      <c r="F18" s="428"/>
      <c r="G18" s="428"/>
      <c r="H18" s="428"/>
      <c r="I18" s="428"/>
      <c r="J18" s="428"/>
      <c r="K18" s="428"/>
      <c r="L18" s="428"/>
      <c r="M18" s="428"/>
      <c r="N18" s="428"/>
      <c r="O18" s="428"/>
      <c r="P18" s="428"/>
      <c r="Q18" s="428"/>
      <c r="R18" s="428"/>
      <c r="S18" s="428"/>
      <c r="T18" s="428"/>
      <c r="U18" s="428"/>
      <c r="V18" s="428"/>
      <c r="W18" s="428"/>
    </row>
    <row r="19">
      <c r="A19" s="501" t="s">
        <v>442</v>
      </c>
      <c r="B19" s="503"/>
      <c r="C19" s="504"/>
      <c r="D19" s="506"/>
      <c r="E19" s="506"/>
      <c r="F19" s="506"/>
      <c r="G19" s="506"/>
      <c r="H19" s="506"/>
      <c r="I19" s="506"/>
      <c r="J19" s="506"/>
      <c r="K19" s="506"/>
      <c r="L19" s="506"/>
      <c r="M19" s="506"/>
      <c r="N19" s="506"/>
      <c r="O19" s="506"/>
      <c r="P19" s="506"/>
      <c r="Q19" s="506"/>
      <c r="R19" s="506"/>
      <c r="S19" s="506"/>
      <c r="T19" s="506"/>
      <c r="U19" s="506"/>
      <c r="V19" s="509"/>
      <c r="W19" s="510"/>
      <c r="X19" s="503"/>
      <c r="Y19" s="503"/>
      <c r="Z19" s="503"/>
    </row>
    <row r="20">
      <c r="A20" s="393" t="s">
        <v>453</v>
      </c>
      <c r="B20" s="393" t="s">
        <v>455</v>
      </c>
      <c r="C20" s="427"/>
      <c r="D20" s="428">
        <f>250*((VALUE(SUBSTITUTE('Hiring &amp; Compensation Plan'!$C$5,"M",""))&lt;=VALUE(SUBSTITUTE(D$3,"M","")))+(VALUE(SUBSTITUTE('Hiring &amp; Compensation Plan'!$C$10,"M",""))&lt;=VALUE(SUBSTITUTE(D$3,"M","")))+(VALUE(SUBSTITUTE('Hiring &amp; Compensation Plan'!$C$15,"M",""))&lt;=VALUE(SUBSTITUTE(D$3,"M","")))+(VALUE(SUBSTITUTE('Hiring &amp; Compensation Plan'!$C$20,"M",""))&lt;=VALUE(SUBSTITUTE(D$3,"M",""))))</f>
        <v>250</v>
      </c>
      <c r="E20" s="428">
        <f>250*((VALUE(SUBSTITUTE('Hiring &amp; Compensation Plan'!$C$5,"M",""))&lt;=VALUE(SUBSTITUTE(E$3,"M","")))+(VALUE(SUBSTITUTE('Hiring &amp; Compensation Plan'!$C$10,"M",""))&lt;=VALUE(SUBSTITUTE(E$3,"M","")))+(VALUE(SUBSTITUTE('Hiring &amp; Compensation Plan'!$C$15,"M",""))&lt;=VALUE(SUBSTITUTE(E$3,"M","")))+(VALUE(SUBSTITUTE('Hiring &amp; Compensation Plan'!$C$20,"M",""))&lt;=VALUE(SUBSTITUTE(E$3,"M",""))))</f>
        <v>750</v>
      </c>
      <c r="F20" s="428">
        <f>250*((VALUE(SUBSTITUTE('Hiring &amp; Compensation Plan'!$C$5,"M",""))&lt;=VALUE(SUBSTITUTE(F$3,"M","")))+(VALUE(SUBSTITUTE('Hiring &amp; Compensation Plan'!$C$10,"M",""))&lt;=VALUE(SUBSTITUTE(F$3,"M","")))+(VALUE(SUBSTITUTE('Hiring &amp; Compensation Plan'!$C$15,"M",""))&lt;=VALUE(SUBSTITUTE(F$3,"M","")))+(VALUE(SUBSTITUTE('Hiring &amp; Compensation Plan'!$C$20,"M",""))&lt;=VALUE(SUBSTITUTE(F$3,"M",""))))</f>
        <v>750</v>
      </c>
      <c r="G20" s="428">
        <f>250*((VALUE(SUBSTITUTE('Hiring &amp; Compensation Plan'!$C$5,"M",""))&lt;=VALUE(SUBSTITUTE(G$3,"M","")))+(VALUE(SUBSTITUTE('Hiring &amp; Compensation Plan'!$C$10,"M",""))&lt;=VALUE(SUBSTITUTE(G$3,"M","")))+(VALUE(SUBSTITUTE('Hiring &amp; Compensation Plan'!$C$15,"M",""))&lt;=VALUE(SUBSTITUTE(G$3,"M","")))+(VALUE(SUBSTITUTE('Hiring &amp; Compensation Plan'!$C$20,"M",""))&lt;=VALUE(SUBSTITUTE(G$3,"M",""))))</f>
        <v>750</v>
      </c>
      <c r="H20" s="428">
        <f>250*((VALUE(SUBSTITUTE('Hiring &amp; Compensation Plan'!$C$5,"M",""))&lt;=VALUE(SUBSTITUTE(H$3,"M","")))+(VALUE(SUBSTITUTE('Hiring &amp; Compensation Plan'!$C$10,"M",""))&lt;=VALUE(SUBSTITUTE(H$3,"M","")))+(VALUE(SUBSTITUTE('Hiring &amp; Compensation Plan'!$C$15,"M",""))&lt;=VALUE(SUBSTITUTE(H$3,"M","")))+(VALUE(SUBSTITUTE('Hiring &amp; Compensation Plan'!$C$20,"M",""))&lt;=VALUE(SUBSTITUTE(H$3,"M",""))))</f>
        <v>1000</v>
      </c>
      <c r="I20" s="428">
        <f>250*((VALUE(SUBSTITUTE('Hiring &amp; Compensation Plan'!$C$5,"M",""))&lt;=VALUE(SUBSTITUTE(I$3,"M","")))+(VALUE(SUBSTITUTE('Hiring &amp; Compensation Plan'!$C$10,"M",""))&lt;=VALUE(SUBSTITUTE(I$3,"M","")))+(VALUE(SUBSTITUTE('Hiring &amp; Compensation Plan'!$C$15,"M",""))&lt;=VALUE(SUBSTITUTE(I$3,"M","")))+(VALUE(SUBSTITUTE('Hiring &amp; Compensation Plan'!$C$20,"M",""))&lt;=VALUE(SUBSTITUTE(I$3,"M",""))))</f>
        <v>1000</v>
      </c>
      <c r="J20" s="428">
        <f>250*((VALUE(SUBSTITUTE('Hiring &amp; Compensation Plan'!$C$5,"M",""))&lt;=VALUE(SUBSTITUTE(J$3,"M","")))+(VALUE(SUBSTITUTE('Hiring &amp; Compensation Plan'!$C$10,"M",""))&lt;=VALUE(SUBSTITUTE(J$3,"M","")))+(VALUE(SUBSTITUTE('Hiring &amp; Compensation Plan'!$C$15,"M",""))&lt;=VALUE(SUBSTITUTE(J$3,"M","")))+(VALUE(SUBSTITUTE('Hiring &amp; Compensation Plan'!$C$20,"M",""))&lt;=VALUE(SUBSTITUTE(J$3,"M",""))))</f>
        <v>1000</v>
      </c>
      <c r="K20" s="428">
        <f>250*((VALUE(SUBSTITUTE('Hiring &amp; Compensation Plan'!$C$5,"M",""))&lt;=VALUE(SUBSTITUTE(K$3,"M","")))+(VALUE(SUBSTITUTE('Hiring &amp; Compensation Plan'!$C$10,"M",""))&lt;=VALUE(SUBSTITUTE(K$3,"M","")))+(VALUE(SUBSTITUTE('Hiring &amp; Compensation Plan'!$C$15,"M",""))&lt;=VALUE(SUBSTITUTE(K$3,"M","")))+(VALUE(SUBSTITUTE('Hiring &amp; Compensation Plan'!$C$20,"M",""))&lt;=VALUE(SUBSTITUTE(K$3,"M",""))))</f>
        <v>1000</v>
      </c>
      <c r="L20" s="428">
        <f>250*((VALUE(SUBSTITUTE('Hiring &amp; Compensation Plan'!$C$5,"M",""))&lt;=VALUE(SUBSTITUTE(L$3,"M","")))+(VALUE(SUBSTITUTE('Hiring &amp; Compensation Plan'!$C$10,"M",""))&lt;=VALUE(SUBSTITUTE(L$3,"M","")))+(VALUE(SUBSTITUTE('Hiring &amp; Compensation Plan'!$C$15,"M",""))&lt;=VALUE(SUBSTITUTE(L$3,"M","")))+(VALUE(SUBSTITUTE('Hiring &amp; Compensation Plan'!$C$20,"M",""))&lt;=VALUE(SUBSTITUTE(L$3,"M",""))))</f>
        <v>1000</v>
      </c>
      <c r="M20" s="428">
        <f>250*((VALUE(SUBSTITUTE('Hiring &amp; Compensation Plan'!$C$5,"M",""))&lt;=VALUE(SUBSTITUTE(M$3,"M","")))+(VALUE(SUBSTITUTE('Hiring &amp; Compensation Plan'!$C$10,"M",""))&lt;=VALUE(SUBSTITUTE(M$3,"M","")))+(VALUE(SUBSTITUTE('Hiring &amp; Compensation Plan'!$C$15,"M",""))&lt;=VALUE(SUBSTITUTE(M$3,"M","")))+(VALUE(SUBSTITUTE('Hiring &amp; Compensation Plan'!$C$20,"M",""))&lt;=VALUE(SUBSTITUTE(M$3,"M",""))))</f>
        <v>1000</v>
      </c>
      <c r="N20" s="428">
        <f>250*((VALUE(SUBSTITUTE('Hiring &amp; Compensation Plan'!$C$5,"M",""))&lt;=VALUE(SUBSTITUTE(N$3,"M","")))+(VALUE(SUBSTITUTE('Hiring &amp; Compensation Plan'!$C$10,"M",""))&lt;=VALUE(SUBSTITUTE(N$3,"M","")))+(VALUE(SUBSTITUTE('Hiring &amp; Compensation Plan'!$C$15,"M",""))&lt;=VALUE(SUBSTITUTE(N$3,"M","")))+(VALUE(SUBSTITUTE('Hiring &amp; Compensation Plan'!$C$20,"M",""))&lt;=VALUE(SUBSTITUTE(N$3,"M",""))))</f>
        <v>1000</v>
      </c>
      <c r="O20" s="428">
        <f>250*((VALUE(SUBSTITUTE('Hiring &amp; Compensation Plan'!$C$5,"M",""))&lt;=VALUE(SUBSTITUTE(O$3,"M","")))+(VALUE(SUBSTITUTE('Hiring &amp; Compensation Plan'!$C$10,"M",""))&lt;=VALUE(SUBSTITUTE(O$3,"M","")))+(VALUE(SUBSTITUTE('Hiring &amp; Compensation Plan'!$C$15,"M",""))&lt;=VALUE(SUBSTITUTE(O$3,"M","")))+(VALUE(SUBSTITUTE('Hiring &amp; Compensation Plan'!$C$20,"M",""))&lt;=VALUE(SUBSTITUTE(O$3,"M",""))))</f>
        <v>1000</v>
      </c>
      <c r="P20" s="428">
        <f>250*((VALUE(SUBSTITUTE('Hiring &amp; Compensation Plan'!$C$5,"M",""))&lt;=VALUE(SUBSTITUTE(P$3,"M","")))+(VALUE(SUBSTITUTE('Hiring &amp; Compensation Plan'!$C$10,"M",""))&lt;=VALUE(SUBSTITUTE(P$3,"M","")))+(VALUE(SUBSTITUTE('Hiring &amp; Compensation Plan'!$C$15,"M",""))&lt;=VALUE(SUBSTITUTE(P$3,"M","")))+(VALUE(SUBSTITUTE('Hiring &amp; Compensation Plan'!$C$20,"M",""))&lt;=VALUE(SUBSTITUTE(P$3,"M",""))))</f>
        <v>1000</v>
      </c>
      <c r="Q20" s="428">
        <f>250*((VALUE(SUBSTITUTE('Hiring &amp; Compensation Plan'!$C$5,"M",""))&lt;=VALUE(SUBSTITUTE(Q$3,"M","")))+(VALUE(SUBSTITUTE('Hiring &amp; Compensation Plan'!$C$10,"M",""))&lt;=VALUE(SUBSTITUTE(Q$3,"M","")))+(VALUE(SUBSTITUTE('Hiring &amp; Compensation Plan'!$C$15,"M",""))&lt;=VALUE(SUBSTITUTE(Q$3,"M","")))+(VALUE(SUBSTITUTE('Hiring &amp; Compensation Plan'!$C$20,"M",""))&lt;=VALUE(SUBSTITUTE(Q$3,"M",""))))</f>
        <v>1000</v>
      </c>
      <c r="R20" s="428">
        <f>250*((VALUE(SUBSTITUTE('Hiring &amp; Compensation Plan'!$C$5,"M",""))&lt;=VALUE(SUBSTITUTE(R$3,"M","")))+(VALUE(SUBSTITUTE('Hiring &amp; Compensation Plan'!$C$10,"M",""))&lt;=VALUE(SUBSTITUTE(R$3,"M","")))+(VALUE(SUBSTITUTE('Hiring &amp; Compensation Plan'!$C$15,"M",""))&lt;=VALUE(SUBSTITUTE(R$3,"M","")))+(VALUE(SUBSTITUTE('Hiring &amp; Compensation Plan'!$C$20,"M",""))&lt;=VALUE(SUBSTITUTE(R$3,"M",""))))</f>
        <v>1000</v>
      </c>
      <c r="S20" s="428">
        <f>250*((VALUE(SUBSTITUTE('Hiring &amp; Compensation Plan'!$C$5,"M",""))&lt;=VALUE(SUBSTITUTE(S$3,"M","")))+(VALUE(SUBSTITUTE('Hiring &amp; Compensation Plan'!$C$10,"M",""))&lt;=VALUE(SUBSTITUTE(S$3,"M","")))+(VALUE(SUBSTITUTE('Hiring &amp; Compensation Plan'!$C$15,"M",""))&lt;=VALUE(SUBSTITUTE(S$3,"M","")))+(VALUE(SUBSTITUTE('Hiring &amp; Compensation Plan'!$C$20,"M",""))&lt;=VALUE(SUBSTITUTE(S$3,"M",""))))</f>
        <v>1000</v>
      </c>
      <c r="T20" s="428">
        <f>250*((VALUE(SUBSTITUTE('Hiring &amp; Compensation Plan'!$C$5,"M",""))&lt;=VALUE(SUBSTITUTE(T$3,"M","")))+(VALUE(SUBSTITUTE('Hiring &amp; Compensation Plan'!$C$10,"M",""))&lt;=VALUE(SUBSTITUTE(T$3,"M","")))+(VALUE(SUBSTITUTE('Hiring &amp; Compensation Plan'!$C$15,"M",""))&lt;=VALUE(SUBSTITUTE(T$3,"M","")))+(VALUE(SUBSTITUTE('Hiring &amp; Compensation Plan'!$C$20,"M",""))&lt;=VALUE(SUBSTITUTE(T$3,"M",""))))</f>
        <v>1000</v>
      </c>
      <c r="U20" s="428">
        <f>250*((VALUE(SUBSTITUTE('Hiring &amp; Compensation Plan'!$C$5,"M",""))&lt;=VALUE(SUBSTITUTE(U$3,"M","")))+(VALUE(SUBSTITUTE('Hiring &amp; Compensation Plan'!$C$10,"M",""))&lt;=VALUE(SUBSTITUTE(U$3,"M","")))+(VALUE(SUBSTITUTE('Hiring &amp; Compensation Plan'!$C$15,"M",""))&lt;=VALUE(SUBSTITUTE(U$3,"M","")))+(VALUE(SUBSTITUTE('Hiring &amp; Compensation Plan'!$C$20,"M",""))&lt;=VALUE(SUBSTITUTE(U$3,"M",""))))</f>
        <v>1000</v>
      </c>
      <c r="V20" s="406">
        <f>SUM(D20:O20)</f>
        <v>10500</v>
      </c>
      <c r="W20" s="410">
        <f>SUM(D20:U20)</f>
        <v>16500</v>
      </c>
      <c r="X20" s="393" t="s">
        <v>124</v>
      </c>
      <c r="Y20" s="393" t="s">
        <v>569</v>
      </c>
      <c r="Z20" s="393" t="s">
        <v>570</v>
      </c>
    </row>
    <row r="21">
      <c r="A21" s="437"/>
      <c r="B21" s="439" t="s">
        <v>571</v>
      </c>
      <c r="C21" s="440"/>
      <c r="D21" s="442">
        <f t="shared" ref="D21:W21" si="7">SUM(D20)</f>
        <v>250</v>
      </c>
      <c r="E21" s="442">
        <f t="shared" si="7"/>
        <v>750</v>
      </c>
      <c r="F21" s="442">
        <f t="shared" si="7"/>
        <v>750</v>
      </c>
      <c r="G21" s="442">
        <f t="shared" si="7"/>
        <v>750</v>
      </c>
      <c r="H21" s="442">
        <f t="shared" si="7"/>
        <v>1000</v>
      </c>
      <c r="I21" s="442">
        <f t="shared" si="7"/>
        <v>1000</v>
      </c>
      <c r="J21" s="442">
        <f t="shared" si="7"/>
        <v>1000</v>
      </c>
      <c r="K21" s="442">
        <f t="shared" si="7"/>
        <v>1000</v>
      </c>
      <c r="L21" s="442">
        <f t="shared" si="7"/>
        <v>1000</v>
      </c>
      <c r="M21" s="442">
        <f t="shared" si="7"/>
        <v>1000</v>
      </c>
      <c r="N21" s="442">
        <f t="shared" si="7"/>
        <v>1000</v>
      </c>
      <c r="O21" s="442">
        <f t="shared" si="7"/>
        <v>1000</v>
      </c>
      <c r="P21" s="442">
        <f t="shared" si="7"/>
        <v>1000</v>
      </c>
      <c r="Q21" s="442">
        <f t="shared" si="7"/>
        <v>1000</v>
      </c>
      <c r="R21" s="442">
        <f t="shared" si="7"/>
        <v>1000</v>
      </c>
      <c r="S21" s="442">
        <f t="shared" si="7"/>
        <v>1000</v>
      </c>
      <c r="T21" s="442">
        <f t="shared" si="7"/>
        <v>1000</v>
      </c>
      <c r="U21" s="442">
        <f t="shared" si="7"/>
        <v>1000</v>
      </c>
      <c r="V21" s="453">
        <f t="shared" si="7"/>
        <v>10500</v>
      </c>
      <c r="W21" s="456">
        <f t="shared" si="7"/>
        <v>16500</v>
      </c>
    </row>
    <row r="22">
      <c r="C22" s="427"/>
      <c r="D22" s="428"/>
      <c r="E22" s="428"/>
      <c r="F22" s="428"/>
      <c r="G22" s="428"/>
      <c r="H22" s="428"/>
      <c r="I22" s="428"/>
      <c r="J22" s="428"/>
      <c r="K22" s="428"/>
      <c r="L22" s="428"/>
      <c r="M22" s="428"/>
      <c r="N22" s="428"/>
      <c r="O22" s="428"/>
      <c r="P22" s="428"/>
      <c r="Q22" s="428"/>
      <c r="R22" s="428"/>
      <c r="S22" s="428"/>
      <c r="T22" s="428"/>
      <c r="U22" s="428"/>
      <c r="V22" s="428"/>
      <c r="W22" s="428"/>
    </row>
    <row r="23">
      <c r="A23" s="707" t="s">
        <v>576</v>
      </c>
      <c r="B23" s="709"/>
      <c r="C23" s="711"/>
      <c r="D23" s="713"/>
      <c r="E23" s="713"/>
      <c r="F23" s="713"/>
      <c r="G23" s="713"/>
      <c r="H23" s="713"/>
      <c r="I23" s="713"/>
      <c r="J23" s="713"/>
      <c r="K23" s="713"/>
      <c r="L23" s="713"/>
      <c r="M23" s="713"/>
      <c r="N23" s="713"/>
      <c r="O23" s="713"/>
      <c r="P23" s="713"/>
      <c r="Q23" s="713"/>
      <c r="R23" s="713"/>
      <c r="S23" s="713"/>
      <c r="T23" s="713"/>
      <c r="U23" s="713"/>
      <c r="V23" s="717"/>
      <c r="W23" s="719"/>
      <c r="X23" s="709"/>
      <c r="Y23" s="709"/>
      <c r="Z23" s="709"/>
    </row>
    <row r="24">
      <c r="A24" s="393" t="s">
        <v>582</v>
      </c>
      <c r="B24" s="393" t="s">
        <v>583</v>
      </c>
      <c r="C24" s="396">
        <v>18.0</v>
      </c>
      <c r="D24" s="399">
        <v>250.0</v>
      </c>
      <c r="E24" s="399">
        <v>250.0</v>
      </c>
      <c r="F24" s="399">
        <v>250.0</v>
      </c>
      <c r="G24" s="399">
        <v>250.0</v>
      </c>
      <c r="H24" s="399">
        <v>250.0</v>
      </c>
      <c r="I24" s="399">
        <v>250.0</v>
      </c>
      <c r="J24" s="399">
        <v>250.0</v>
      </c>
      <c r="K24" s="399">
        <v>250.0</v>
      </c>
      <c r="L24" s="399">
        <v>250.0</v>
      </c>
      <c r="M24" s="399">
        <v>250.0</v>
      </c>
      <c r="N24" s="399">
        <v>250.0</v>
      </c>
      <c r="O24" s="399">
        <v>250.0</v>
      </c>
      <c r="P24" s="399">
        <v>250.0</v>
      </c>
      <c r="Q24" s="399">
        <v>250.0</v>
      </c>
      <c r="R24" s="399">
        <v>250.0</v>
      </c>
      <c r="S24" s="399">
        <v>250.0</v>
      </c>
      <c r="T24" s="399">
        <v>250.0</v>
      </c>
      <c r="U24" s="399">
        <v>250.0</v>
      </c>
      <c r="V24" s="406">
        <f>SUM(D24:O24)</f>
        <v>3000</v>
      </c>
      <c r="W24" s="410">
        <f>SUM(D24:U24)</f>
        <v>4500</v>
      </c>
      <c r="X24" s="393" t="s">
        <v>124</v>
      </c>
      <c r="Y24" s="393" t="s">
        <v>399</v>
      </c>
      <c r="Z24" s="393" t="s">
        <v>593</v>
      </c>
    </row>
    <row r="25">
      <c r="A25" s="437"/>
      <c r="B25" s="439" t="s">
        <v>594</v>
      </c>
      <c r="C25" s="440"/>
      <c r="D25" s="442">
        <f t="shared" ref="D25:W25" si="8">SUM(D24)</f>
        <v>250</v>
      </c>
      <c r="E25" s="442">
        <f t="shared" si="8"/>
        <v>250</v>
      </c>
      <c r="F25" s="442">
        <f t="shared" si="8"/>
        <v>250</v>
      </c>
      <c r="G25" s="442">
        <f t="shared" si="8"/>
        <v>250</v>
      </c>
      <c r="H25" s="442">
        <f t="shared" si="8"/>
        <v>250</v>
      </c>
      <c r="I25" s="442">
        <f t="shared" si="8"/>
        <v>250</v>
      </c>
      <c r="J25" s="442">
        <f t="shared" si="8"/>
        <v>250</v>
      </c>
      <c r="K25" s="442">
        <f t="shared" si="8"/>
        <v>250</v>
      </c>
      <c r="L25" s="442">
        <f t="shared" si="8"/>
        <v>250</v>
      </c>
      <c r="M25" s="442">
        <f t="shared" si="8"/>
        <v>250</v>
      </c>
      <c r="N25" s="442">
        <f t="shared" si="8"/>
        <v>250</v>
      </c>
      <c r="O25" s="442">
        <f t="shared" si="8"/>
        <v>250</v>
      </c>
      <c r="P25" s="442">
        <f t="shared" si="8"/>
        <v>250</v>
      </c>
      <c r="Q25" s="442">
        <f t="shared" si="8"/>
        <v>250</v>
      </c>
      <c r="R25" s="442">
        <f t="shared" si="8"/>
        <v>250</v>
      </c>
      <c r="S25" s="442">
        <f t="shared" si="8"/>
        <v>250</v>
      </c>
      <c r="T25" s="442">
        <f t="shared" si="8"/>
        <v>250</v>
      </c>
      <c r="U25" s="442">
        <f t="shared" si="8"/>
        <v>250</v>
      </c>
      <c r="V25" s="453">
        <f t="shared" si="8"/>
        <v>3000</v>
      </c>
      <c r="W25" s="456">
        <f t="shared" si="8"/>
        <v>4500</v>
      </c>
    </row>
    <row r="26">
      <c r="C26" s="427"/>
      <c r="D26" s="428"/>
      <c r="E26" s="428"/>
      <c r="F26" s="428"/>
      <c r="G26" s="428"/>
      <c r="H26" s="428"/>
      <c r="I26" s="428"/>
      <c r="J26" s="428"/>
      <c r="K26" s="428"/>
      <c r="L26" s="428"/>
      <c r="M26" s="428"/>
      <c r="N26" s="428"/>
      <c r="O26" s="428"/>
      <c r="P26" s="428"/>
      <c r="Q26" s="428"/>
      <c r="R26" s="428"/>
      <c r="S26" s="428"/>
      <c r="T26" s="428"/>
      <c r="U26" s="428"/>
      <c r="V26" s="428"/>
      <c r="W26" s="428"/>
    </row>
    <row r="27">
      <c r="A27" s="732" t="s">
        <v>608</v>
      </c>
      <c r="B27" s="734"/>
      <c r="C27" s="735"/>
      <c r="D27" s="737"/>
      <c r="E27" s="737"/>
      <c r="F27" s="737"/>
      <c r="G27" s="737"/>
      <c r="H27" s="737"/>
      <c r="I27" s="737"/>
      <c r="J27" s="737"/>
      <c r="K27" s="737"/>
      <c r="L27" s="737"/>
      <c r="M27" s="737"/>
      <c r="N27" s="737"/>
      <c r="O27" s="737"/>
      <c r="P27" s="737"/>
      <c r="Q27" s="737"/>
      <c r="R27" s="737"/>
      <c r="S27" s="737"/>
      <c r="T27" s="737"/>
      <c r="U27" s="737"/>
      <c r="V27" s="739"/>
      <c r="W27" s="740"/>
      <c r="X27" s="734"/>
      <c r="Y27" s="734"/>
      <c r="Z27" s="734"/>
    </row>
    <row r="28">
      <c r="A28" s="741" t="s">
        <v>613</v>
      </c>
      <c r="B28" s="741" t="s">
        <v>614</v>
      </c>
      <c r="C28" s="742">
        <v>18.0</v>
      </c>
      <c r="D28" s="743">
        <f t="shared" ref="D28:U28" si="9">5%*SUM(D5:D6,D12:D15,D20,D24)</f>
        <v>307.5</v>
      </c>
      <c r="E28" s="743">
        <f t="shared" si="9"/>
        <v>332.5</v>
      </c>
      <c r="F28" s="743">
        <f t="shared" si="9"/>
        <v>332.5</v>
      </c>
      <c r="G28" s="743">
        <f t="shared" si="9"/>
        <v>332.5</v>
      </c>
      <c r="H28" s="743">
        <f t="shared" si="9"/>
        <v>345</v>
      </c>
      <c r="I28" s="743">
        <f t="shared" si="9"/>
        <v>345</v>
      </c>
      <c r="J28" s="743">
        <f t="shared" si="9"/>
        <v>345</v>
      </c>
      <c r="K28" s="743">
        <f t="shared" si="9"/>
        <v>345</v>
      </c>
      <c r="L28" s="743">
        <f t="shared" si="9"/>
        <v>345</v>
      </c>
      <c r="M28" s="743">
        <f t="shared" si="9"/>
        <v>345</v>
      </c>
      <c r="N28" s="743">
        <f t="shared" si="9"/>
        <v>345</v>
      </c>
      <c r="O28" s="743">
        <f t="shared" si="9"/>
        <v>345</v>
      </c>
      <c r="P28" s="743">
        <f t="shared" si="9"/>
        <v>345</v>
      </c>
      <c r="Q28" s="743">
        <f t="shared" si="9"/>
        <v>345</v>
      </c>
      <c r="R28" s="743">
        <f t="shared" si="9"/>
        <v>345</v>
      </c>
      <c r="S28" s="743">
        <f t="shared" si="9"/>
        <v>345</v>
      </c>
      <c r="T28" s="743">
        <f t="shared" si="9"/>
        <v>345</v>
      </c>
      <c r="U28" s="743">
        <f t="shared" si="9"/>
        <v>345</v>
      </c>
      <c r="V28" s="755">
        <f>SUM(D28:O28)</f>
        <v>4065</v>
      </c>
      <c r="W28" s="760">
        <f>SUM(D28:U28)</f>
        <v>6135</v>
      </c>
      <c r="X28" s="741" t="s">
        <v>129</v>
      </c>
      <c r="Y28" s="741" t="s">
        <v>621</v>
      </c>
      <c r="Z28" s="741" t="s">
        <v>622</v>
      </c>
    </row>
    <row r="29">
      <c r="A29" s="437"/>
      <c r="B29" s="439" t="s">
        <v>623</v>
      </c>
      <c r="C29" s="440"/>
      <c r="D29" s="442">
        <f t="shared" ref="D29:W29" si="10">SUM(D28)</f>
        <v>307.5</v>
      </c>
      <c r="E29" s="442">
        <f t="shared" si="10"/>
        <v>332.5</v>
      </c>
      <c r="F29" s="442">
        <f t="shared" si="10"/>
        <v>332.5</v>
      </c>
      <c r="G29" s="442">
        <f t="shared" si="10"/>
        <v>332.5</v>
      </c>
      <c r="H29" s="442">
        <f t="shared" si="10"/>
        <v>345</v>
      </c>
      <c r="I29" s="442">
        <f t="shared" si="10"/>
        <v>345</v>
      </c>
      <c r="J29" s="442">
        <f t="shared" si="10"/>
        <v>345</v>
      </c>
      <c r="K29" s="442">
        <f t="shared" si="10"/>
        <v>345</v>
      </c>
      <c r="L29" s="442">
        <f t="shared" si="10"/>
        <v>345</v>
      </c>
      <c r="M29" s="442">
        <f t="shared" si="10"/>
        <v>345</v>
      </c>
      <c r="N29" s="442">
        <f t="shared" si="10"/>
        <v>345</v>
      </c>
      <c r="O29" s="442">
        <f t="shared" si="10"/>
        <v>345</v>
      </c>
      <c r="P29" s="442">
        <f t="shared" si="10"/>
        <v>345</v>
      </c>
      <c r="Q29" s="442">
        <f t="shared" si="10"/>
        <v>345</v>
      </c>
      <c r="R29" s="442">
        <f t="shared" si="10"/>
        <v>345</v>
      </c>
      <c r="S29" s="442">
        <f t="shared" si="10"/>
        <v>345</v>
      </c>
      <c r="T29" s="442">
        <f t="shared" si="10"/>
        <v>345</v>
      </c>
      <c r="U29" s="442">
        <f t="shared" si="10"/>
        <v>345</v>
      </c>
      <c r="V29" s="453">
        <f t="shared" si="10"/>
        <v>4065</v>
      </c>
      <c r="W29" s="456">
        <f t="shared" si="10"/>
        <v>6135</v>
      </c>
    </row>
    <row r="30">
      <c r="D30" s="428"/>
      <c r="E30" s="428"/>
      <c r="F30" s="428"/>
      <c r="G30" s="428"/>
      <c r="H30" s="428"/>
      <c r="I30" s="428"/>
      <c r="J30" s="428"/>
      <c r="K30" s="428"/>
      <c r="L30" s="428"/>
      <c r="M30" s="428"/>
      <c r="N30" s="428"/>
      <c r="O30" s="428"/>
      <c r="P30" s="428"/>
      <c r="Q30" s="428"/>
      <c r="R30" s="428"/>
      <c r="S30" s="428"/>
      <c r="T30" s="428"/>
      <c r="U30" s="428"/>
      <c r="V30" s="428"/>
      <c r="W30" s="428"/>
    </row>
    <row r="31">
      <c r="A31" s="768"/>
      <c r="B31" s="769" t="s">
        <v>625</v>
      </c>
      <c r="C31" s="768"/>
      <c r="D31" s="772">
        <f t="shared" ref="D31:W31" si="11">D9+D17+D21+D25+D29</f>
        <v>26457.5</v>
      </c>
      <c r="E31" s="774">
        <f t="shared" si="11"/>
        <v>6982.5</v>
      </c>
      <c r="F31" s="774">
        <f t="shared" si="11"/>
        <v>6982.5</v>
      </c>
      <c r="G31" s="774">
        <f t="shared" si="11"/>
        <v>6982.5</v>
      </c>
      <c r="H31" s="774">
        <f t="shared" si="11"/>
        <v>7245</v>
      </c>
      <c r="I31" s="774">
        <f t="shared" si="11"/>
        <v>7245</v>
      </c>
      <c r="J31" s="774">
        <f t="shared" si="11"/>
        <v>7245</v>
      </c>
      <c r="K31" s="774">
        <f t="shared" si="11"/>
        <v>7245</v>
      </c>
      <c r="L31" s="774">
        <f t="shared" si="11"/>
        <v>7245</v>
      </c>
      <c r="M31" s="774">
        <f t="shared" si="11"/>
        <v>7245</v>
      </c>
      <c r="N31" s="774">
        <f t="shared" si="11"/>
        <v>7245</v>
      </c>
      <c r="O31" s="774">
        <f t="shared" si="11"/>
        <v>7245</v>
      </c>
      <c r="P31" s="774">
        <f t="shared" si="11"/>
        <v>7245</v>
      </c>
      <c r="Q31" s="774">
        <f t="shared" si="11"/>
        <v>7245</v>
      </c>
      <c r="R31" s="774">
        <f t="shared" si="11"/>
        <v>7245</v>
      </c>
      <c r="S31" s="774">
        <f t="shared" si="11"/>
        <v>7245</v>
      </c>
      <c r="T31" s="774">
        <f t="shared" si="11"/>
        <v>7245</v>
      </c>
      <c r="U31" s="774">
        <f t="shared" si="11"/>
        <v>7245</v>
      </c>
      <c r="V31" s="778">
        <f t="shared" si="11"/>
        <v>105365</v>
      </c>
      <c r="W31" s="779">
        <f t="shared" si="11"/>
        <v>148835</v>
      </c>
    </row>
    <row r="34">
      <c r="A34" s="780" t="s">
        <v>553</v>
      </c>
      <c r="B34" s="781"/>
      <c r="C34" s="781"/>
      <c r="D34" s="781"/>
      <c r="E34" s="781"/>
      <c r="F34" s="781"/>
      <c r="H34" s="783" t="s">
        <v>627</v>
      </c>
      <c r="I34" s="780"/>
      <c r="J34" s="780"/>
      <c r="K34" s="785"/>
      <c r="L34" s="785"/>
      <c r="M34" s="785"/>
      <c r="N34" s="785"/>
      <c r="O34" s="785"/>
      <c r="P34" s="785"/>
      <c r="Q34" s="785"/>
      <c r="R34" s="785"/>
      <c r="S34" s="785"/>
      <c r="T34" s="785"/>
      <c r="U34" s="785"/>
      <c r="V34" s="785"/>
      <c r="W34" s="785"/>
      <c r="X34" s="785"/>
      <c r="Y34" s="785"/>
      <c r="Z34" s="785"/>
    </row>
    <row r="35">
      <c r="A35" s="788" t="s">
        <v>630</v>
      </c>
      <c r="B35" s="790" t="s">
        <v>143</v>
      </c>
      <c r="C35" s="790" t="s">
        <v>144</v>
      </c>
      <c r="D35" s="790" t="s">
        <v>632</v>
      </c>
      <c r="E35" s="790" t="s">
        <v>633</v>
      </c>
      <c r="F35" s="792" t="s">
        <v>634</v>
      </c>
      <c r="H35" s="793"/>
    </row>
    <row r="36">
      <c r="A36" s="794" t="s">
        <v>329</v>
      </c>
      <c r="B36" s="795">
        <f t="shared" ref="B36:C36" si="12">V9</f>
        <v>75600</v>
      </c>
      <c r="C36" s="796">
        <f t="shared" si="12"/>
        <v>105900</v>
      </c>
      <c r="D36" s="797">
        <f t="shared" ref="D36:D40" si="14">C36/$W$31</f>
        <v>0.7115261867</v>
      </c>
      <c r="E36" s="798" t="s">
        <v>636</v>
      </c>
      <c r="F36" s="799" t="s">
        <v>637</v>
      </c>
      <c r="H36" s="800" t="s">
        <v>640</v>
      </c>
    </row>
    <row r="37">
      <c r="A37" s="801" t="s">
        <v>376</v>
      </c>
      <c r="B37" s="802">
        <f t="shared" ref="B37:C37" si="13">V17</f>
        <v>12200</v>
      </c>
      <c r="C37" s="803">
        <f t="shared" si="13"/>
        <v>15800</v>
      </c>
      <c r="D37" s="804">
        <f t="shared" si="14"/>
        <v>0.1061578258</v>
      </c>
      <c r="E37" s="805" t="s">
        <v>643</v>
      </c>
      <c r="F37" s="806" t="s">
        <v>644</v>
      </c>
    </row>
    <row r="38">
      <c r="A38" s="807" t="s">
        <v>442</v>
      </c>
      <c r="B38" s="808">
        <f t="shared" ref="B38:C38" si="15">V21</f>
        <v>10500</v>
      </c>
      <c r="C38" s="809">
        <f t="shared" si="15"/>
        <v>16500</v>
      </c>
      <c r="D38" s="810">
        <f t="shared" si="14"/>
        <v>0.1108610206</v>
      </c>
      <c r="E38" s="811" t="s">
        <v>649</v>
      </c>
      <c r="F38" s="812" t="s">
        <v>650</v>
      </c>
    </row>
    <row r="39">
      <c r="A39" s="813" t="s">
        <v>576</v>
      </c>
      <c r="B39" s="815">
        <f t="shared" ref="B39:C39" si="16">V25</f>
        <v>3000</v>
      </c>
      <c r="C39" s="816">
        <f t="shared" si="16"/>
        <v>4500</v>
      </c>
      <c r="D39" s="817">
        <f t="shared" si="14"/>
        <v>0.0302348238</v>
      </c>
      <c r="E39" s="818" t="s">
        <v>652</v>
      </c>
      <c r="F39" s="819" t="s">
        <v>655</v>
      </c>
    </row>
    <row r="40">
      <c r="A40" s="820" t="s">
        <v>608</v>
      </c>
      <c r="B40" s="821">
        <f t="shared" ref="B40:C40" si="17">V29</f>
        <v>4065</v>
      </c>
      <c r="C40" s="822">
        <f t="shared" si="17"/>
        <v>6135</v>
      </c>
      <c r="D40" s="823">
        <f t="shared" si="14"/>
        <v>0.04122014311</v>
      </c>
      <c r="E40" s="824" t="s">
        <v>657</v>
      </c>
      <c r="F40" s="825" t="s">
        <v>658</v>
      </c>
    </row>
    <row r="41">
      <c r="A41" s="826" t="s">
        <v>659</v>
      </c>
      <c r="B41" s="828">
        <f t="shared" ref="B41:C41" si="18">SUM(B36:B40)</f>
        <v>105365</v>
      </c>
      <c r="C41" s="830">
        <f t="shared" si="18"/>
        <v>148835</v>
      </c>
      <c r="D41" s="832">
        <v>1.0</v>
      </c>
      <c r="E41" s="833"/>
      <c r="F41" s="835"/>
      <c r="H41" s="836"/>
    </row>
    <row r="42">
      <c r="H42" s="836"/>
    </row>
    <row r="43">
      <c r="A43" s="839" t="s">
        <v>663</v>
      </c>
      <c r="B43" s="840"/>
      <c r="H43" s="836"/>
    </row>
    <row r="44">
      <c r="A44" s="842" t="s">
        <v>665</v>
      </c>
      <c r="B44" s="692">
        <f>H31</f>
        <v>7245</v>
      </c>
      <c r="H44" s="836"/>
    </row>
    <row r="45">
      <c r="A45" s="842" t="s">
        <v>666</v>
      </c>
      <c r="B45" s="692">
        <f>W7+W8+W16</f>
        <v>20000</v>
      </c>
    </row>
    <row r="46">
      <c r="A46" s="842" t="s">
        <v>670</v>
      </c>
      <c r="B46" s="692">
        <f>W7</f>
        <v>10000</v>
      </c>
    </row>
    <row r="47">
      <c r="A47" s="842" t="s">
        <v>671</v>
      </c>
      <c r="B47" s="692">
        <f>W31-W7</f>
        <v>138835</v>
      </c>
    </row>
    <row r="48">
      <c r="A48" s="844" t="s">
        <v>672</v>
      </c>
      <c r="B48" s="761">
        <f>250</f>
        <v>250</v>
      </c>
    </row>
  </sheetData>
  <mergeCells count="6">
    <mergeCell ref="H35:Z35"/>
    <mergeCell ref="H36:Z40"/>
    <mergeCell ref="H41:Z41"/>
    <mergeCell ref="H42:Z42"/>
    <mergeCell ref="H43:Z43"/>
    <mergeCell ref="H44:Z44"/>
  </mergeCells>
  <conditionalFormatting sqref="A5:Z29 A37:A40">
    <cfRule type="expression" dxfId="4" priority="1" stopIfTrue="1">
      <formula>$X5="OpEx"</formula>
    </cfRule>
  </conditionalFormatting>
  <conditionalFormatting sqref="A5:Z29 A37:A40">
    <cfRule type="expression" dxfId="5" priority="2" stopIfTrue="1">
      <formula>$X5="CapEx"</formula>
    </cfRule>
  </conditionalFormatting>
  <conditionalFormatting sqref="A5:Z29 A37:A40">
    <cfRule type="expression" dxfId="6" priority="3" stopIfTrue="1">
      <formula>$X5="Working Capital"</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75" outlineLevelRow="1"/>
  <cols>
    <col customWidth="1" min="1" max="1" width="27.29"/>
    <col customWidth="1" min="2" max="2" width="47.29"/>
    <col customWidth="1" min="3" max="3" width="9.57"/>
    <col customWidth="1" min="4" max="23" width="11.86"/>
    <col customWidth="1" min="24" max="24" width="15.14"/>
    <col customWidth="1" min="25" max="25" width="27.29"/>
    <col customWidth="1" min="26" max="26" width="64.43"/>
  </cols>
  <sheetData>
    <row r="1">
      <c r="A1" s="340" t="s">
        <v>573</v>
      </c>
      <c r="B1" s="4"/>
      <c r="C1" s="4"/>
      <c r="D1" s="4"/>
      <c r="E1" s="4"/>
      <c r="F1" s="4"/>
      <c r="G1" s="4"/>
      <c r="H1" s="4"/>
      <c r="I1" s="4"/>
      <c r="J1" s="4"/>
      <c r="K1" s="4"/>
      <c r="L1" s="4"/>
      <c r="M1" s="4"/>
      <c r="N1" s="4"/>
      <c r="O1" s="4"/>
      <c r="P1" s="4"/>
      <c r="Q1" s="4"/>
      <c r="R1" s="4"/>
      <c r="S1" s="4"/>
      <c r="T1" s="4"/>
      <c r="U1" s="4"/>
      <c r="V1" s="4"/>
      <c r="W1" s="4"/>
      <c r="X1" s="4"/>
      <c r="Y1" s="4"/>
      <c r="Z1" s="4"/>
    </row>
    <row r="2" ht="28.5" customHeight="1">
      <c r="A2" s="702" t="s">
        <v>574</v>
      </c>
      <c r="B2" s="351"/>
      <c r="C2" s="351"/>
      <c r="D2" s="351"/>
      <c r="E2" s="351"/>
      <c r="F2" s="351"/>
      <c r="G2" s="351"/>
      <c r="H2" s="351"/>
      <c r="I2" s="351"/>
      <c r="J2" s="351"/>
      <c r="K2" s="351"/>
      <c r="L2" s="351"/>
      <c r="M2" s="351"/>
      <c r="N2" s="351"/>
      <c r="O2" s="351"/>
      <c r="P2" s="351"/>
      <c r="Q2" s="351"/>
      <c r="R2" s="351"/>
      <c r="S2" s="351"/>
      <c r="T2" s="351"/>
      <c r="U2" s="351"/>
      <c r="V2" s="351"/>
      <c r="W2" s="351"/>
      <c r="X2" s="351"/>
      <c r="Y2" s="351"/>
      <c r="Z2" s="351"/>
    </row>
    <row r="3" ht="28.5" customHeight="1">
      <c r="A3" s="366" t="s">
        <v>26</v>
      </c>
      <c r="B3" s="366" t="s">
        <v>31</v>
      </c>
      <c r="C3" s="366" t="s">
        <v>34</v>
      </c>
      <c r="D3" s="366" t="s">
        <v>20</v>
      </c>
      <c r="E3" s="366" t="s">
        <v>21</v>
      </c>
      <c r="F3" s="366" t="s">
        <v>22</v>
      </c>
      <c r="G3" s="366" t="s">
        <v>23</v>
      </c>
      <c r="H3" s="366" t="s">
        <v>24</v>
      </c>
      <c r="I3" s="366" t="s">
        <v>25</v>
      </c>
      <c r="J3" s="366" t="s">
        <v>27</v>
      </c>
      <c r="K3" s="366" t="s">
        <v>28</v>
      </c>
      <c r="L3" s="366" t="s">
        <v>29</v>
      </c>
      <c r="M3" s="366" t="s">
        <v>30</v>
      </c>
      <c r="N3" s="366" t="s">
        <v>32</v>
      </c>
      <c r="O3" s="366" t="s">
        <v>33</v>
      </c>
      <c r="P3" s="366" t="s">
        <v>35</v>
      </c>
      <c r="Q3" s="366" t="s">
        <v>36</v>
      </c>
      <c r="R3" s="366" t="s">
        <v>37</v>
      </c>
      <c r="S3" s="366" t="s">
        <v>38</v>
      </c>
      <c r="T3" s="366" t="s">
        <v>39</v>
      </c>
      <c r="U3" s="366" t="s">
        <v>40</v>
      </c>
      <c r="V3" s="715" t="s">
        <v>41</v>
      </c>
      <c r="W3" s="716" t="s">
        <v>42</v>
      </c>
      <c r="X3" s="366" t="s">
        <v>47</v>
      </c>
      <c r="Y3" s="366" t="s">
        <v>327</v>
      </c>
      <c r="Z3" s="366" t="s">
        <v>328</v>
      </c>
    </row>
    <row r="4">
      <c r="A4" s="718" t="s">
        <v>581</v>
      </c>
      <c r="B4" s="720"/>
      <c r="C4" s="720"/>
      <c r="D4" s="722"/>
      <c r="E4" s="722"/>
      <c r="F4" s="722"/>
      <c r="G4" s="722"/>
      <c r="H4" s="722"/>
      <c r="I4" s="722"/>
      <c r="J4" s="722"/>
      <c r="K4" s="722"/>
      <c r="L4" s="722"/>
      <c r="M4" s="722"/>
      <c r="N4" s="722"/>
      <c r="O4" s="722"/>
      <c r="P4" s="722"/>
      <c r="Q4" s="722"/>
      <c r="R4" s="722"/>
      <c r="S4" s="722"/>
      <c r="T4" s="722"/>
      <c r="U4" s="722"/>
      <c r="V4" s="723"/>
      <c r="W4" s="724"/>
      <c r="X4" s="720"/>
      <c r="Y4" s="720"/>
      <c r="Z4" s="720"/>
    </row>
    <row r="5">
      <c r="A5" s="393" t="s">
        <v>590</v>
      </c>
      <c r="B5" s="393" t="s">
        <v>592</v>
      </c>
      <c r="C5" s="393">
        <v>6.0</v>
      </c>
      <c r="D5" s="428"/>
      <c r="E5" s="399">
        <v>1000.0</v>
      </c>
      <c r="F5" s="428"/>
      <c r="G5" s="399">
        <v>1000.0</v>
      </c>
      <c r="H5" s="428"/>
      <c r="I5" s="399">
        <v>1000.0</v>
      </c>
      <c r="J5" s="428"/>
      <c r="K5" s="399">
        <v>2000.0</v>
      </c>
      <c r="L5" s="428"/>
      <c r="M5" s="428"/>
      <c r="N5" s="399">
        <v>2000.0</v>
      </c>
      <c r="O5" s="428"/>
      <c r="P5" s="428"/>
      <c r="Q5" s="399">
        <v>3000.0</v>
      </c>
      <c r="R5" s="428"/>
      <c r="S5" s="428"/>
      <c r="T5" s="428"/>
      <c r="U5" s="428"/>
      <c r="V5" s="725">
        <f t="shared" ref="V5:V6" si="1">SUM(D5:O5)</f>
        <v>7000</v>
      </c>
      <c r="W5" s="728">
        <f t="shared" ref="W5:W6" si="2">SUM(D5:U5)</f>
        <v>10000</v>
      </c>
      <c r="X5" s="393" t="s">
        <v>124</v>
      </c>
      <c r="Y5" s="393" t="s">
        <v>600</v>
      </c>
      <c r="Z5" s="393" t="s">
        <v>602</v>
      </c>
    </row>
    <row r="6">
      <c r="A6" s="393" t="s">
        <v>590</v>
      </c>
      <c r="B6" s="393" t="s">
        <v>604</v>
      </c>
      <c r="C6" s="393">
        <v>18.0</v>
      </c>
      <c r="D6" s="399">
        <v>500.0</v>
      </c>
      <c r="E6" s="399">
        <v>500.0</v>
      </c>
      <c r="F6" s="399">
        <v>500.0</v>
      </c>
      <c r="G6" s="399">
        <v>500.0</v>
      </c>
      <c r="H6" s="399">
        <v>500.0</v>
      </c>
      <c r="I6" s="399">
        <v>500.0</v>
      </c>
      <c r="J6" s="399">
        <v>500.0</v>
      </c>
      <c r="K6" s="399">
        <v>500.0</v>
      </c>
      <c r="L6" s="399">
        <v>500.0</v>
      </c>
      <c r="M6" s="399">
        <v>500.0</v>
      </c>
      <c r="N6" s="399">
        <v>500.0</v>
      </c>
      <c r="O6" s="399">
        <v>500.0</v>
      </c>
      <c r="P6" s="399">
        <v>500.0</v>
      </c>
      <c r="Q6" s="399">
        <v>500.0</v>
      </c>
      <c r="R6" s="399">
        <v>500.0</v>
      </c>
      <c r="S6" s="399">
        <v>500.0</v>
      </c>
      <c r="T6" s="399">
        <v>500.0</v>
      </c>
      <c r="U6" s="399">
        <v>500.0</v>
      </c>
      <c r="V6" s="725">
        <f t="shared" si="1"/>
        <v>6000</v>
      </c>
      <c r="W6" s="728">
        <f t="shared" si="2"/>
        <v>9000</v>
      </c>
      <c r="X6" s="393" t="s">
        <v>124</v>
      </c>
      <c r="Y6" s="393" t="s">
        <v>609</v>
      </c>
      <c r="Z6" s="393" t="s">
        <v>610</v>
      </c>
    </row>
    <row r="7">
      <c r="A7" s="437"/>
      <c r="B7" s="439" t="s">
        <v>611</v>
      </c>
      <c r="C7" s="437"/>
      <c r="D7" s="442">
        <f t="shared" ref="D7:W7" si="3">SUM(D5:D6)</f>
        <v>500</v>
      </c>
      <c r="E7" s="442">
        <f t="shared" si="3"/>
        <v>1500</v>
      </c>
      <c r="F7" s="442">
        <f t="shared" si="3"/>
        <v>500</v>
      </c>
      <c r="G7" s="442">
        <f t="shared" si="3"/>
        <v>1500</v>
      </c>
      <c r="H7" s="442">
        <f t="shared" si="3"/>
        <v>500</v>
      </c>
      <c r="I7" s="442">
        <f t="shared" si="3"/>
        <v>1500</v>
      </c>
      <c r="J7" s="442">
        <f t="shared" si="3"/>
        <v>500</v>
      </c>
      <c r="K7" s="442">
        <f t="shared" si="3"/>
        <v>2500</v>
      </c>
      <c r="L7" s="442">
        <f t="shared" si="3"/>
        <v>500</v>
      </c>
      <c r="M7" s="442">
        <f t="shared" si="3"/>
        <v>500</v>
      </c>
      <c r="N7" s="442">
        <f t="shared" si="3"/>
        <v>2500</v>
      </c>
      <c r="O7" s="442">
        <f t="shared" si="3"/>
        <v>500</v>
      </c>
      <c r="P7" s="442">
        <f t="shared" si="3"/>
        <v>500</v>
      </c>
      <c r="Q7" s="442">
        <f t="shared" si="3"/>
        <v>3500</v>
      </c>
      <c r="R7" s="442">
        <f t="shared" si="3"/>
        <v>500</v>
      </c>
      <c r="S7" s="442">
        <f t="shared" si="3"/>
        <v>500</v>
      </c>
      <c r="T7" s="442">
        <f t="shared" si="3"/>
        <v>500</v>
      </c>
      <c r="U7" s="442">
        <f t="shared" si="3"/>
        <v>500</v>
      </c>
      <c r="V7" s="745">
        <f t="shared" si="3"/>
        <v>13000</v>
      </c>
      <c r="W7" s="746">
        <f t="shared" si="3"/>
        <v>19000</v>
      </c>
    </row>
    <row r="8">
      <c r="D8" s="428"/>
      <c r="E8" s="428"/>
      <c r="F8" s="428"/>
      <c r="G8" s="428"/>
      <c r="H8" s="428"/>
      <c r="I8" s="428"/>
      <c r="J8" s="428"/>
      <c r="K8" s="428"/>
      <c r="L8" s="428"/>
      <c r="M8" s="428"/>
      <c r="N8" s="428"/>
      <c r="O8" s="428"/>
      <c r="P8" s="428"/>
      <c r="Q8" s="428"/>
      <c r="R8" s="428"/>
      <c r="S8" s="428"/>
      <c r="T8" s="428"/>
      <c r="U8" s="428"/>
      <c r="V8" s="428"/>
      <c r="W8" s="428"/>
    </row>
    <row r="9">
      <c r="A9" s="749" t="s">
        <v>615</v>
      </c>
      <c r="B9" s="751"/>
      <c r="C9" s="751"/>
      <c r="D9" s="752"/>
      <c r="E9" s="752"/>
      <c r="F9" s="752"/>
      <c r="G9" s="752"/>
      <c r="H9" s="752"/>
      <c r="I9" s="752"/>
      <c r="J9" s="752"/>
      <c r="K9" s="752"/>
      <c r="L9" s="752"/>
      <c r="M9" s="752"/>
      <c r="N9" s="752"/>
      <c r="O9" s="752"/>
      <c r="P9" s="752"/>
      <c r="Q9" s="752"/>
      <c r="R9" s="752"/>
      <c r="S9" s="752"/>
      <c r="T9" s="752"/>
      <c r="U9" s="752"/>
      <c r="V9" s="753"/>
      <c r="W9" s="754"/>
      <c r="X9" s="751"/>
      <c r="Y9" s="751"/>
      <c r="Z9" s="751"/>
    </row>
    <row r="10">
      <c r="A10" s="393" t="s">
        <v>618</v>
      </c>
      <c r="B10" s="393" t="s">
        <v>620</v>
      </c>
      <c r="C10" s="759"/>
      <c r="D10" s="428">
        <f>200*((VALUE(SUBSTITUTE('Hiring &amp; Compensation Plan'!$C$10,"M",""))&lt;=VALUE(SUBSTITUTE(D$3,"M","")))+(VALUE(SUBSTITUTE('Hiring &amp; Compensation Plan'!$C$15,"M",""))&lt;=VALUE(SUBSTITUTE(D$3,"M","")))+(VALUE(SUBSTITUTE('Hiring &amp; Compensation Plan'!$C$20,"M",""))&lt;=VALUE(SUBSTITUTE(D$3,"M",""))))</f>
        <v>0</v>
      </c>
      <c r="E10" s="428">
        <f>200*((VALUE(SUBSTITUTE('Hiring &amp; Compensation Plan'!$C$10,"M",""))&lt;=VALUE(SUBSTITUTE(E$3,"M","")))+(VALUE(SUBSTITUTE('Hiring &amp; Compensation Plan'!$C$15,"M",""))&lt;=VALUE(SUBSTITUTE(E$3,"M","")))+(VALUE(SUBSTITUTE('Hiring &amp; Compensation Plan'!$C$20,"M",""))&lt;=VALUE(SUBSTITUTE(E$3,"M",""))))</f>
        <v>400</v>
      </c>
      <c r="F10" s="428">
        <f>200*((VALUE(SUBSTITUTE('Hiring &amp; Compensation Plan'!$C$10,"M",""))&lt;=VALUE(SUBSTITUTE(F$3,"M","")))+(VALUE(SUBSTITUTE('Hiring &amp; Compensation Plan'!$C$15,"M",""))&lt;=VALUE(SUBSTITUTE(F$3,"M","")))+(VALUE(SUBSTITUTE('Hiring &amp; Compensation Plan'!$C$20,"M",""))&lt;=VALUE(SUBSTITUTE(F$3,"M",""))))</f>
        <v>400</v>
      </c>
      <c r="G10" s="428">
        <f>200*((VALUE(SUBSTITUTE('Hiring &amp; Compensation Plan'!$C$10,"M",""))&lt;=VALUE(SUBSTITUTE(G$3,"M","")))+(VALUE(SUBSTITUTE('Hiring &amp; Compensation Plan'!$C$15,"M",""))&lt;=VALUE(SUBSTITUTE(G$3,"M","")))+(VALUE(SUBSTITUTE('Hiring &amp; Compensation Plan'!$C$20,"M",""))&lt;=VALUE(SUBSTITUTE(G$3,"M",""))))</f>
        <v>400</v>
      </c>
      <c r="H10" s="428">
        <f>200*((VALUE(SUBSTITUTE('Hiring &amp; Compensation Plan'!$C$10,"M",""))&lt;=VALUE(SUBSTITUTE(H$3,"M","")))+(VALUE(SUBSTITUTE('Hiring &amp; Compensation Plan'!$C$15,"M",""))&lt;=VALUE(SUBSTITUTE(H$3,"M","")))+(VALUE(SUBSTITUTE('Hiring &amp; Compensation Plan'!$C$20,"M",""))&lt;=VALUE(SUBSTITUTE(H$3,"M",""))))</f>
        <v>600</v>
      </c>
      <c r="I10" s="428">
        <f>200*((VALUE(SUBSTITUTE('Hiring &amp; Compensation Plan'!$C$10,"M",""))&lt;=VALUE(SUBSTITUTE(I$3,"M","")))+(VALUE(SUBSTITUTE('Hiring &amp; Compensation Plan'!$C$15,"M",""))&lt;=VALUE(SUBSTITUTE(I$3,"M","")))+(VALUE(SUBSTITUTE('Hiring &amp; Compensation Plan'!$C$20,"M",""))&lt;=VALUE(SUBSTITUTE(I$3,"M",""))))</f>
        <v>600</v>
      </c>
      <c r="J10" s="428">
        <f>200*((VALUE(SUBSTITUTE('Hiring &amp; Compensation Plan'!$C$10,"M",""))&lt;=VALUE(SUBSTITUTE(J$3,"M","")))+(VALUE(SUBSTITUTE('Hiring &amp; Compensation Plan'!$C$15,"M",""))&lt;=VALUE(SUBSTITUTE(J$3,"M","")))+(VALUE(SUBSTITUTE('Hiring &amp; Compensation Plan'!$C$20,"M",""))&lt;=VALUE(SUBSTITUTE(J$3,"M",""))))</f>
        <v>600</v>
      </c>
      <c r="K10" s="428">
        <f>200*((VALUE(SUBSTITUTE('Hiring &amp; Compensation Plan'!$C$10,"M",""))&lt;=VALUE(SUBSTITUTE(K$3,"M","")))+(VALUE(SUBSTITUTE('Hiring &amp; Compensation Plan'!$C$15,"M",""))&lt;=VALUE(SUBSTITUTE(K$3,"M","")))+(VALUE(SUBSTITUTE('Hiring &amp; Compensation Plan'!$C$20,"M",""))&lt;=VALUE(SUBSTITUTE(K$3,"M",""))))</f>
        <v>600</v>
      </c>
      <c r="L10" s="428">
        <f>200*((VALUE(SUBSTITUTE('Hiring &amp; Compensation Plan'!$C$10,"M",""))&lt;=VALUE(SUBSTITUTE(L$3,"M","")))+(VALUE(SUBSTITUTE('Hiring &amp; Compensation Plan'!$C$15,"M",""))&lt;=VALUE(SUBSTITUTE(L$3,"M","")))+(VALUE(SUBSTITUTE('Hiring &amp; Compensation Plan'!$C$20,"M",""))&lt;=VALUE(SUBSTITUTE(L$3,"M",""))))</f>
        <v>600</v>
      </c>
      <c r="M10" s="428">
        <f>200*((VALUE(SUBSTITUTE('Hiring &amp; Compensation Plan'!$C$10,"M",""))&lt;=VALUE(SUBSTITUTE(M$3,"M","")))+(VALUE(SUBSTITUTE('Hiring &amp; Compensation Plan'!$C$15,"M",""))&lt;=VALUE(SUBSTITUTE(M$3,"M","")))+(VALUE(SUBSTITUTE('Hiring &amp; Compensation Plan'!$C$20,"M",""))&lt;=VALUE(SUBSTITUTE(M$3,"M",""))))</f>
        <v>600</v>
      </c>
      <c r="N10" s="428">
        <f>200*((VALUE(SUBSTITUTE('Hiring &amp; Compensation Plan'!$C$10,"M",""))&lt;=VALUE(SUBSTITUTE(N$3,"M","")))+(VALUE(SUBSTITUTE('Hiring &amp; Compensation Plan'!$C$15,"M",""))&lt;=VALUE(SUBSTITUTE(N$3,"M","")))+(VALUE(SUBSTITUTE('Hiring &amp; Compensation Plan'!$C$20,"M",""))&lt;=VALUE(SUBSTITUTE(N$3,"M",""))))</f>
        <v>600</v>
      </c>
      <c r="O10" s="428">
        <f>200*((VALUE(SUBSTITUTE('Hiring &amp; Compensation Plan'!$C$10,"M",""))&lt;=VALUE(SUBSTITUTE(O$3,"M","")))+(VALUE(SUBSTITUTE('Hiring &amp; Compensation Plan'!$C$15,"M",""))&lt;=VALUE(SUBSTITUTE(O$3,"M","")))+(VALUE(SUBSTITUTE('Hiring &amp; Compensation Plan'!$C$20,"M",""))&lt;=VALUE(SUBSTITUTE(O$3,"M",""))))</f>
        <v>600</v>
      </c>
      <c r="P10" s="428">
        <f>200*((VALUE(SUBSTITUTE('Hiring &amp; Compensation Plan'!$C$10,"M",""))&lt;=VALUE(SUBSTITUTE(P$3,"M","")))+(VALUE(SUBSTITUTE('Hiring &amp; Compensation Plan'!$C$15,"M",""))&lt;=VALUE(SUBSTITUTE(P$3,"M","")))+(VALUE(SUBSTITUTE('Hiring &amp; Compensation Plan'!$C$20,"M",""))&lt;=VALUE(SUBSTITUTE(P$3,"M",""))))</f>
        <v>600</v>
      </c>
      <c r="Q10" s="428">
        <f>200*((VALUE(SUBSTITUTE('Hiring &amp; Compensation Plan'!$C$10,"M",""))&lt;=VALUE(SUBSTITUTE(Q$3,"M","")))+(VALUE(SUBSTITUTE('Hiring &amp; Compensation Plan'!$C$15,"M",""))&lt;=VALUE(SUBSTITUTE(Q$3,"M","")))+(VALUE(SUBSTITUTE('Hiring &amp; Compensation Plan'!$C$20,"M",""))&lt;=VALUE(SUBSTITUTE(Q$3,"M",""))))</f>
        <v>600</v>
      </c>
      <c r="R10" s="428">
        <f>200*((VALUE(SUBSTITUTE('Hiring &amp; Compensation Plan'!$C$10,"M",""))&lt;=VALUE(SUBSTITUTE(R$3,"M","")))+(VALUE(SUBSTITUTE('Hiring &amp; Compensation Plan'!$C$15,"M",""))&lt;=VALUE(SUBSTITUTE(R$3,"M","")))+(VALUE(SUBSTITUTE('Hiring &amp; Compensation Plan'!$C$20,"M",""))&lt;=VALUE(SUBSTITUTE(R$3,"M",""))))</f>
        <v>600</v>
      </c>
      <c r="S10" s="428">
        <f>200*((VALUE(SUBSTITUTE('Hiring &amp; Compensation Plan'!$C$10,"M",""))&lt;=VALUE(SUBSTITUTE(S$3,"M","")))+(VALUE(SUBSTITUTE('Hiring &amp; Compensation Plan'!$C$15,"M",""))&lt;=VALUE(SUBSTITUTE(S$3,"M","")))+(VALUE(SUBSTITUTE('Hiring &amp; Compensation Plan'!$C$20,"M",""))&lt;=VALUE(SUBSTITUTE(S$3,"M",""))))</f>
        <v>600</v>
      </c>
      <c r="T10" s="428">
        <f>200*((VALUE(SUBSTITUTE('Hiring &amp; Compensation Plan'!$C$10,"M",""))&lt;=VALUE(SUBSTITUTE(T$3,"M","")))+(VALUE(SUBSTITUTE('Hiring &amp; Compensation Plan'!$C$15,"M",""))&lt;=VALUE(SUBSTITUTE(T$3,"M","")))+(VALUE(SUBSTITUTE('Hiring &amp; Compensation Plan'!$C$20,"M",""))&lt;=VALUE(SUBSTITUTE(T$3,"M",""))))</f>
        <v>600</v>
      </c>
      <c r="U10" s="428">
        <f>200*((VALUE(SUBSTITUTE('Hiring &amp; Compensation Plan'!$C$10,"M",""))&lt;=VALUE(SUBSTITUTE(U$3,"M","")))+(VALUE(SUBSTITUTE('Hiring &amp; Compensation Plan'!$C$15,"M",""))&lt;=VALUE(SUBSTITUTE(U$3,"M","")))+(VALUE(SUBSTITUTE('Hiring &amp; Compensation Plan'!$C$20,"M",""))&lt;=VALUE(SUBSTITUTE(U$3,"M",""))))</f>
        <v>600</v>
      </c>
      <c r="V10" s="725">
        <f t="shared" ref="V10:V12" si="4">SUM(D10:O10)</f>
        <v>6000</v>
      </c>
      <c r="W10" s="728">
        <f t="shared" ref="W10:W12" si="5">SUM(D10:U10)</f>
        <v>9600</v>
      </c>
      <c r="X10" s="393" t="s">
        <v>124</v>
      </c>
      <c r="Y10" s="393" t="s">
        <v>667</v>
      </c>
      <c r="Z10" s="393" t="s">
        <v>668</v>
      </c>
    </row>
    <row r="11">
      <c r="A11" s="393" t="s">
        <v>618</v>
      </c>
      <c r="B11" s="393" t="s">
        <v>669</v>
      </c>
      <c r="C11" s="393">
        <v>3.0</v>
      </c>
      <c r="D11" s="428"/>
      <c r="E11" s="428"/>
      <c r="F11" s="428"/>
      <c r="G11" s="428"/>
      <c r="H11" s="428"/>
      <c r="I11" s="399">
        <v>3000.0</v>
      </c>
      <c r="J11" s="428"/>
      <c r="K11" s="428"/>
      <c r="L11" s="428"/>
      <c r="M11" s="428"/>
      <c r="N11" s="399">
        <v>3000.0</v>
      </c>
      <c r="O11" s="428"/>
      <c r="P11" s="428"/>
      <c r="Q11" s="428"/>
      <c r="R11" s="428"/>
      <c r="S11" s="399">
        <v>3000.0</v>
      </c>
      <c r="T11" s="428"/>
      <c r="U11" s="428"/>
      <c r="V11" s="725">
        <f t="shared" si="4"/>
        <v>6000</v>
      </c>
      <c r="W11" s="728">
        <f t="shared" si="5"/>
        <v>9000</v>
      </c>
      <c r="X11" s="393" t="s">
        <v>124</v>
      </c>
      <c r="Y11" s="393" t="s">
        <v>673</v>
      </c>
      <c r="Z11" s="393" t="s">
        <v>674</v>
      </c>
    </row>
    <row r="12">
      <c r="A12" s="393" t="s">
        <v>618</v>
      </c>
      <c r="B12" s="393" t="s">
        <v>675</v>
      </c>
      <c r="C12" s="393">
        <v>3.0</v>
      </c>
      <c r="D12" s="428"/>
      <c r="E12" s="428"/>
      <c r="F12" s="428"/>
      <c r="G12" s="428"/>
      <c r="H12" s="428"/>
      <c r="I12" s="399">
        <v>1500.0</v>
      </c>
      <c r="J12" s="428"/>
      <c r="K12" s="428"/>
      <c r="L12" s="428"/>
      <c r="M12" s="428"/>
      <c r="N12" s="399">
        <v>1500.0</v>
      </c>
      <c r="O12" s="428"/>
      <c r="P12" s="428"/>
      <c r="Q12" s="428"/>
      <c r="R12" s="428"/>
      <c r="S12" s="399">
        <v>2000.0</v>
      </c>
      <c r="T12" s="428"/>
      <c r="U12" s="428"/>
      <c r="V12" s="725">
        <f t="shared" si="4"/>
        <v>3000</v>
      </c>
      <c r="W12" s="728">
        <f t="shared" si="5"/>
        <v>5000</v>
      </c>
      <c r="X12" s="393" t="s">
        <v>124</v>
      </c>
      <c r="Y12" s="393" t="s">
        <v>676</v>
      </c>
      <c r="Z12" s="393" t="s">
        <v>677</v>
      </c>
    </row>
    <row r="13">
      <c r="A13" s="437"/>
      <c r="B13" s="439" t="s">
        <v>678</v>
      </c>
      <c r="C13" s="437"/>
      <c r="D13" s="442">
        <f t="shared" ref="D13:W13" si="6">SUM(D10:D12)</f>
        <v>0</v>
      </c>
      <c r="E13" s="442">
        <f t="shared" si="6"/>
        <v>400</v>
      </c>
      <c r="F13" s="442">
        <f t="shared" si="6"/>
        <v>400</v>
      </c>
      <c r="G13" s="442">
        <f t="shared" si="6"/>
        <v>400</v>
      </c>
      <c r="H13" s="442">
        <f t="shared" si="6"/>
        <v>600</v>
      </c>
      <c r="I13" s="442">
        <f t="shared" si="6"/>
        <v>5100</v>
      </c>
      <c r="J13" s="442">
        <f t="shared" si="6"/>
        <v>600</v>
      </c>
      <c r="K13" s="442">
        <f t="shared" si="6"/>
        <v>600</v>
      </c>
      <c r="L13" s="442">
        <f t="shared" si="6"/>
        <v>600</v>
      </c>
      <c r="M13" s="442">
        <f t="shared" si="6"/>
        <v>600</v>
      </c>
      <c r="N13" s="442">
        <f t="shared" si="6"/>
        <v>5100</v>
      </c>
      <c r="O13" s="442">
        <f t="shared" si="6"/>
        <v>600</v>
      </c>
      <c r="P13" s="442">
        <f t="shared" si="6"/>
        <v>600</v>
      </c>
      <c r="Q13" s="442">
        <f t="shared" si="6"/>
        <v>600</v>
      </c>
      <c r="R13" s="442">
        <f t="shared" si="6"/>
        <v>600</v>
      </c>
      <c r="S13" s="442">
        <f t="shared" si="6"/>
        <v>5600</v>
      </c>
      <c r="T13" s="442">
        <f t="shared" si="6"/>
        <v>600</v>
      </c>
      <c r="U13" s="442">
        <f t="shared" si="6"/>
        <v>600</v>
      </c>
      <c r="V13" s="745">
        <f t="shared" si="6"/>
        <v>15000</v>
      </c>
      <c r="W13" s="746">
        <f t="shared" si="6"/>
        <v>23600</v>
      </c>
    </row>
    <row r="14">
      <c r="D14" s="428"/>
      <c r="E14" s="428"/>
      <c r="F14" s="428"/>
      <c r="G14" s="428"/>
      <c r="H14" s="428"/>
      <c r="I14" s="428"/>
      <c r="J14" s="428"/>
      <c r="K14" s="428"/>
      <c r="L14" s="428"/>
      <c r="M14" s="428"/>
      <c r="N14" s="428"/>
      <c r="O14" s="428"/>
      <c r="P14" s="428"/>
      <c r="Q14" s="428"/>
      <c r="R14" s="428"/>
      <c r="S14" s="428"/>
      <c r="T14" s="428"/>
      <c r="U14" s="428"/>
      <c r="V14" s="428"/>
      <c r="W14" s="428"/>
    </row>
    <row r="15">
      <c r="A15" s="847" t="s">
        <v>679</v>
      </c>
      <c r="B15" s="848"/>
      <c r="C15" s="848"/>
      <c r="D15" s="850"/>
      <c r="E15" s="850"/>
      <c r="F15" s="850"/>
      <c r="G15" s="850"/>
      <c r="H15" s="850"/>
      <c r="I15" s="850"/>
      <c r="J15" s="850"/>
      <c r="K15" s="850"/>
      <c r="L15" s="850"/>
      <c r="M15" s="850"/>
      <c r="N15" s="850"/>
      <c r="O15" s="850"/>
      <c r="P15" s="850"/>
      <c r="Q15" s="850"/>
      <c r="R15" s="850"/>
      <c r="S15" s="850"/>
      <c r="T15" s="850"/>
      <c r="U15" s="850"/>
      <c r="V15" s="851"/>
      <c r="W15" s="853"/>
      <c r="X15" s="848"/>
      <c r="Y15" s="848"/>
      <c r="Z15" s="848"/>
    </row>
    <row r="16">
      <c r="A16" s="393" t="s">
        <v>681</v>
      </c>
      <c r="B16" s="393" t="s">
        <v>682</v>
      </c>
      <c r="C16" s="393">
        <v>16.0</v>
      </c>
      <c r="D16" s="428"/>
      <c r="E16" s="428"/>
      <c r="F16" s="399">
        <v>200.0</v>
      </c>
      <c r="G16" s="399">
        <v>200.0</v>
      </c>
      <c r="H16" s="399">
        <v>200.0</v>
      </c>
      <c r="I16" s="399">
        <v>200.0</v>
      </c>
      <c r="J16" s="399">
        <v>200.0</v>
      </c>
      <c r="K16" s="399">
        <v>200.0</v>
      </c>
      <c r="L16" s="399">
        <v>200.0</v>
      </c>
      <c r="M16" s="399">
        <v>200.0</v>
      </c>
      <c r="N16" s="399">
        <v>200.0</v>
      </c>
      <c r="O16" s="399">
        <v>200.0</v>
      </c>
      <c r="P16" s="399">
        <v>200.0</v>
      </c>
      <c r="Q16" s="399">
        <v>200.0</v>
      </c>
      <c r="R16" s="399">
        <v>200.0</v>
      </c>
      <c r="S16" s="399">
        <v>200.0</v>
      </c>
      <c r="T16" s="399">
        <v>200.0</v>
      </c>
      <c r="U16" s="399">
        <v>200.0</v>
      </c>
      <c r="V16" s="725">
        <f>SUM(D16:O16)</f>
        <v>2000</v>
      </c>
      <c r="W16" s="728">
        <f>SUM(D16:U16)</f>
        <v>3200</v>
      </c>
      <c r="X16" s="393" t="s">
        <v>124</v>
      </c>
      <c r="Y16" s="393" t="s">
        <v>686</v>
      </c>
      <c r="Z16" s="393" t="s">
        <v>687</v>
      </c>
    </row>
    <row r="17">
      <c r="A17" s="437"/>
      <c r="B17" s="439" t="s">
        <v>688</v>
      </c>
      <c r="C17" s="437"/>
      <c r="D17" s="442">
        <f t="shared" ref="D17:W17" si="7">SUM(D16)</f>
        <v>0</v>
      </c>
      <c r="E17" s="442">
        <f t="shared" si="7"/>
        <v>0</v>
      </c>
      <c r="F17" s="442">
        <f t="shared" si="7"/>
        <v>200</v>
      </c>
      <c r="G17" s="442">
        <f t="shared" si="7"/>
        <v>200</v>
      </c>
      <c r="H17" s="442">
        <f t="shared" si="7"/>
        <v>200</v>
      </c>
      <c r="I17" s="442">
        <f t="shared" si="7"/>
        <v>200</v>
      </c>
      <c r="J17" s="442">
        <f t="shared" si="7"/>
        <v>200</v>
      </c>
      <c r="K17" s="442">
        <f t="shared" si="7"/>
        <v>200</v>
      </c>
      <c r="L17" s="442">
        <f t="shared" si="7"/>
        <v>200</v>
      </c>
      <c r="M17" s="442">
        <f t="shared" si="7"/>
        <v>200</v>
      </c>
      <c r="N17" s="442">
        <f t="shared" si="7"/>
        <v>200</v>
      </c>
      <c r="O17" s="442">
        <f t="shared" si="7"/>
        <v>200</v>
      </c>
      <c r="P17" s="442">
        <f t="shared" si="7"/>
        <v>200</v>
      </c>
      <c r="Q17" s="442">
        <f t="shared" si="7"/>
        <v>200</v>
      </c>
      <c r="R17" s="442">
        <f t="shared" si="7"/>
        <v>200</v>
      </c>
      <c r="S17" s="442">
        <f t="shared" si="7"/>
        <v>200</v>
      </c>
      <c r="T17" s="442">
        <f t="shared" si="7"/>
        <v>200</v>
      </c>
      <c r="U17" s="442">
        <f t="shared" si="7"/>
        <v>200</v>
      </c>
      <c r="V17" s="745">
        <f t="shared" si="7"/>
        <v>2000</v>
      </c>
      <c r="W17" s="746">
        <f t="shared" si="7"/>
        <v>3200</v>
      </c>
    </row>
    <row r="18">
      <c r="D18" s="428"/>
      <c r="E18" s="428"/>
      <c r="F18" s="428"/>
      <c r="G18" s="428"/>
      <c r="H18" s="428"/>
      <c r="I18" s="428"/>
      <c r="J18" s="428"/>
      <c r="K18" s="428"/>
      <c r="L18" s="428"/>
      <c r="M18" s="428"/>
      <c r="N18" s="428"/>
      <c r="O18" s="428"/>
      <c r="P18" s="428"/>
      <c r="Q18" s="428"/>
      <c r="R18" s="428"/>
      <c r="S18" s="428"/>
      <c r="T18" s="428"/>
      <c r="U18" s="428"/>
      <c r="V18" s="428"/>
      <c r="W18" s="428"/>
    </row>
    <row r="19">
      <c r="A19" s="861" t="s">
        <v>692</v>
      </c>
      <c r="B19" s="862"/>
      <c r="C19" s="862"/>
      <c r="D19" s="863"/>
      <c r="E19" s="863"/>
      <c r="F19" s="863"/>
      <c r="G19" s="863"/>
      <c r="H19" s="863"/>
      <c r="I19" s="863"/>
      <c r="J19" s="863"/>
      <c r="K19" s="863"/>
      <c r="L19" s="863"/>
      <c r="M19" s="863"/>
      <c r="N19" s="863"/>
      <c r="O19" s="863"/>
      <c r="P19" s="863"/>
      <c r="Q19" s="863"/>
      <c r="R19" s="863"/>
      <c r="S19" s="863"/>
      <c r="T19" s="863"/>
      <c r="U19" s="863"/>
      <c r="V19" s="864"/>
      <c r="W19" s="865"/>
      <c r="X19" s="862"/>
      <c r="Y19" s="862"/>
      <c r="Z19" s="862"/>
    </row>
    <row r="20">
      <c r="A20" s="393" t="s">
        <v>693</v>
      </c>
      <c r="B20" s="393" t="s">
        <v>694</v>
      </c>
      <c r="C20" s="393">
        <v>18.0</v>
      </c>
      <c r="D20" s="399">
        <v>250.0</v>
      </c>
      <c r="E20" s="399">
        <v>250.0</v>
      </c>
      <c r="F20" s="399">
        <v>250.0</v>
      </c>
      <c r="G20" s="399">
        <v>250.0</v>
      </c>
      <c r="H20" s="399">
        <v>250.0</v>
      </c>
      <c r="I20" s="399">
        <v>250.0</v>
      </c>
      <c r="J20" s="399">
        <v>250.0</v>
      </c>
      <c r="K20" s="399">
        <v>250.0</v>
      </c>
      <c r="L20" s="399">
        <v>250.0</v>
      </c>
      <c r="M20" s="399">
        <v>250.0</v>
      </c>
      <c r="N20" s="399">
        <v>250.0</v>
      </c>
      <c r="O20" s="399">
        <v>250.0</v>
      </c>
      <c r="P20" s="399">
        <v>250.0</v>
      </c>
      <c r="Q20" s="399">
        <v>250.0</v>
      </c>
      <c r="R20" s="399">
        <v>250.0</v>
      </c>
      <c r="S20" s="399">
        <v>250.0</v>
      </c>
      <c r="T20" s="399">
        <v>250.0</v>
      </c>
      <c r="U20" s="399">
        <v>250.0</v>
      </c>
      <c r="V20" s="725">
        <f t="shared" ref="V20:V21" si="8">SUM(D20:O20)</f>
        <v>3000</v>
      </c>
      <c r="W20" s="728">
        <f t="shared" ref="W20:W21" si="9">SUM(D20:U20)</f>
        <v>4500</v>
      </c>
      <c r="X20" s="393" t="s">
        <v>124</v>
      </c>
      <c r="Y20" s="393" t="s">
        <v>399</v>
      </c>
      <c r="Z20" s="393" t="s">
        <v>695</v>
      </c>
    </row>
    <row r="21">
      <c r="A21" s="393" t="s">
        <v>693</v>
      </c>
      <c r="B21" s="393" t="s">
        <v>696</v>
      </c>
      <c r="C21" s="393">
        <v>18.0</v>
      </c>
      <c r="D21" s="399">
        <v>100.0</v>
      </c>
      <c r="E21" s="399">
        <v>100.0</v>
      </c>
      <c r="F21" s="399">
        <v>100.0</v>
      </c>
      <c r="G21" s="399">
        <v>100.0</v>
      </c>
      <c r="H21" s="399">
        <v>100.0</v>
      </c>
      <c r="I21" s="399">
        <v>100.0</v>
      </c>
      <c r="J21" s="399">
        <v>100.0</v>
      </c>
      <c r="K21" s="399">
        <v>100.0</v>
      </c>
      <c r="L21" s="399">
        <v>100.0</v>
      </c>
      <c r="M21" s="399">
        <v>100.0</v>
      </c>
      <c r="N21" s="399">
        <v>100.0</v>
      </c>
      <c r="O21" s="399">
        <v>100.0</v>
      </c>
      <c r="P21" s="399">
        <v>100.0</v>
      </c>
      <c r="Q21" s="399">
        <v>100.0</v>
      </c>
      <c r="R21" s="399">
        <v>100.0</v>
      </c>
      <c r="S21" s="399">
        <v>100.0</v>
      </c>
      <c r="T21" s="399">
        <v>100.0</v>
      </c>
      <c r="U21" s="399">
        <v>100.0</v>
      </c>
      <c r="V21" s="725">
        <f t="shared" si="8"/>
        <v>1200</v>
      </c>
      <c r="W21" s="728">
        <f t="shared" si="9"/>
        <v>1800</v>
      </c>
      <c r="X21" s="393" t="s">
        <v>124</v>
      </c>
      <c r="Y21" s="393" t="s">
        <v>385</v>
      </c>
      <c r="Z21" s="393" t="s">
        <v>697</v>
      </c>
    </row>
    <row r="22">
      <c r="A22" s="437"/>
      <c r="B22" s="439" t="s">
        <v>698</v>
      </c>
      <c r="C22" s="437"/>
      <c r="D22" s="442">
        <f t="shared" ref="D22:W22" si="10">SUM(D20:D21)</f>
        <v>350</v>
      </c>
      <c r="E22" s="442">
        <f t="shared" si="10"/>
        <v>350</v>
      </c>
      <c r="F22" s="442">
        <f t="shared" si="10"/>
        <v>350</v>
      </c>
      <c r="G22" s="442">
        <f t="shared" si="10"/>
        <v>350</v>
      </c>
      <c r="H22" s="442">
        <f t="shared" si="10"/>
        <v>350</v>
      </c>
      <c r="I22" s="442">
        <f t="shared" si="10"/>
        <v>350</v>
      </c>
      <c r="J22" s="442">
        <f t="shared" si="10"/>
        <v>350</v>
      </c>
      <c r="K22" s="442">
        <f t="shared" si="10"/>
        <v>350</v>
      </c>
      <c r="L22" s="442">
        <f t="shared" si="10"/>
        <v>350</v>
      </c>
      <c r="M22" s="442">
        <f t="shared" si="10"/>
        <v>350</v>
      </c>
      <c r="N22" s="442">
        <f t="shared" si="10"/>
        <v>350</v>
      </c>
      <c r="O22" s="442">
        <f t="shared" si="10"/>
        <v>350</v>
      </c>
      <c r="P22" s="442">
        <f t="shared" si="10"/>
        <v>350</v>
      </c>
      <c r="Q22" s="442">
        <f t="shared" si="10"/>
        <v>350</v>
      </c>
      <c r="R22" s="442">
        <f t="shared" si="10"/>
        <v>350</v>
      </c>
      <c r="S22" s="442">
        <f t="shared" si="10"/>
        <v>350</v>
      </c>
      <c r="T22" s="442">
        <f t="shared" si="10"/>
        <v>350</v>
      </c>
      <c r="U22" s="442">
        <f t="shared" si="10"/>
        <v>350</v>
      </c>
      <c r="V22" s="745">
        <f t="shared" si="10"/>
        <v>4200</v>
      </c>
      <c r="W22" s="746">
        <f t="shared" si="10"/>
        <v>6300</v>
      </c>
    </row>
    <row r="23">
      <c r="D23" s="428"/>
      <c r="E23" s="428"/>
      <c r="F23" s="428"/>
      <c r="G23" s="428"/>
      <c r="H23" s="428"/>
      <c r="I23" s="428"/>
      <c r="J23" s="428"/>
      <c r="K23" s="428"/>
      <c r="L23" s="428"/>
      <c r="M23" s="428"/>
      <c r="N23" s="428"/>
      <c r="O23" s="428"/>
      <c r="P23" s="428"/>
      <c r="Q23" s="428"/>
      <c r="R23" s="428"/>
      <c r="S23" s="428"/>
      <c r="T23" s="428"/>
      <c r="U23" s="428"/>
      <c r="V23" s="428"/>
      <c r="W23" s="428"/>
    </row>
    <row r="24">
      <c r="A24" s="871" t="s">
        <v>701</v>
      </c>
      <c r="B24" s="872"/>
      <c r="C24" s="872"/>
      <c r="D24" s="873"/>
      <c r="E24" s="873"/>
      <c r="F24" s="873"/>
      <c r="G24" s="873"/>
      <c r="H24" s="873"/>
      <c r="I24" s="873"/>
      <c r="J24" s="873"/>
      <c r="K24" s="873"/>
      <c r="L24" s="873"/>
      <c r="M24" s="873"/>
      <c r="N24" s="873"/>
      <c r="O24" s="873"/>
      <c r="P24" s="873"/>
      <c r="Q24" s="873"/>
      <c r="R24" s="873"/>
      <c r="S24" s="873"/>
      <c r="T24" s="873"/>
      <c r="U24" s="873"/>
      <c r="V24" s="876"/>
      <c r="W24" s="878"/>
      <c r="X24" s="872"/>
      <c r="Y24" s="872"/>
      <c r="Z24" s="872"/>
    </row>
    <row r="25">
      <c r="A25" s="393" t="s">
        <v>704</v>
      </c>
      <c r="B25" s="393" t="s">
        <v>706</v>
      </c>
      <c r="C25" s="393">
        <v>4.0</v>
      </c>
      <c r="D25" s="428"/>
      <c r="E25" s="399">
        <v>2000.0</v>
      </c>
      <c r="F25" s="428"/>
      <c r="G25" s="428"/>
      <c r="H25" s="428"/>
      <c r="I25" s="399">
        <v>2000.0</v>
      </c>
      <c r="J25" s="428"/>
      <c r="K25" s="428"/>
      <c r="L25" s="428"/>
      <c r="M25" s="399">
        <v>3000.0</v>
      </c>
      <c r="N25" s="428"/>
      <c r="O25" s="428"/>
      <c r="P25" s="428"/>
      <c r="Q25" s="428"/>
      <c r="R25" s="399">
        <v>3000.0</v>
      </c>
      <c r="S25" s="428"/>
      <c r="T25" s="428"/>
      <c r="U25" s="428"/>
      <c r="V25" s="725">
        <f t="shared" ref="V25:V28" si="11">SUM(D25:O25)</f>
        <v>7000</v>
      </c>
      <c r="W25" s="728">
        <f t="shared" ref="W25:W28" si="12">SUM(D25:U25)</f>
        <v>10000</v>
      </c>
      <c r="X25" s="393" t="s">
        <v>124</v>
      </c>
      <c r="Y25" s="393" t="s">
        <v>707</v>
      </c>
      <c r="Z25" s="393" t="s">
        <v>708</v>
      </c>
    </row>
    <row r="26">
      <c r="A26" s="393" t="s">
        <v>704</v>
      </c>
      <c r="B26" s="393" t="s">
        <v>709</v>
      </c>
      <c r="C26" s="393">
        <v>2.0</v>
      </c>
      <c r="D26" s="428"/>
      <c r="E26" s="428"/>
      <c r="F26" s="428"/>
      <c r="G26" s="428"/>
      <c r="H26" s="428"/>
      <c r="I26" s="428"/>
      <c r="J26" s="428"/>
      <c r="K26" s="428"/>
      <c r="L26" s="399">
        <v>5000.0</v>
      </c>
      <c r="M26" s="428"/>
      <c r="N26" s="428"/>
      <c r="O26" s="428"/>
      <c r="P26" s="428"/>
      <c r="Q26" s="428"/>
      <c r="R26" s="399">
        <v>5000.0</v>
      </c>
      <c r="S26" s="428"/>
      <c r="T26" s="428"/>
      <c r="U26" s="428"/>
      <c r="V26" s="725">
        <f t="shared" si="11"/>
        <v>5000</v>
      </c>
      <c r="W26" s="728">
        <f t="shared" si="12"/>
        <v>10000</v>
      </c>
      <c r="X26" s="393" t="s">
        <v>124</v>
      </c>
      <c r="Y26" s="393" t="s">
        <v>707</v>
      </c>
      <c r="Z26" s="393" t="s">
        <v>710</v>
      </c>
    </row>
    <row r="27">
      <c r="A27" s="393" t="s">
        <v>704</v>
      </c>
      <c r="B27" s="393" t="s">
        <v>712</v>
      </c>
      <c r="C27" s="393">
        <v>1.0</v>
      </c>
      <c r="D27" s="428"/>
      <c r="E27" s="428"/>
      <c r="F27" s="428"/>
      <c r="G27" s="428"/>
      <c r="H27" s="428"/>
      <c r="I27" s="428"/>
      <c r="J27" s="428"/>
      <c r="K27" s="428"/>
      <c r="L27" s="399">
        <v>3000.0</v>
      </c>
      <c r="M27" s="428"/>
      <c r="N27" s="428"/>
      <c r="O27" s="428"/>
      <c r="P27" s="428"/>
      <c r="Q27" s="428"/>
      <c r="R27" s="428"/>
      <c r="S27" s="428"/>
      <c r="T27" s="428"/>
      <c r="U27" s="428"/>
      <c r="V27" s="725">
        <f t="shared" si="11"/>
        <v>3000</v>
      </c>
      <c r="W27" s="728">
        <f t="shared" si="12"/>
        <v>3000</v>
      </c>
      <c r="X27" s="393" t="s">
        <v>124</v>
      </c>
      <c r="Y27" s="393" t="s">
        <v>715</v>
      </c>
      <c r="Z27" s="393" t="s">
        <v>716</v>
      </c>
    </row>
    <row r="28">
      <c r="A28" s="888" t="s">
        <v>704</v>
      </c>
      <c r="B28" s="888" t="s">
        <v>717</v>
      </c>
      <c r="C28" s="888">
        <v>2.0</v>
      </c>
      <c r="D28" s="890">
        <v>2000.0</v>
      </c>
      <c r="E28" s="891"/>
      <c r="F28" s="891"/>
      <c r="G28" s="891"/>
      <c r="H28" s="891"/>
      <c r="I28" s="891"/>
      <c r="J28" s="891"/>
      <c r="K28" s="891"/>
      <c r="L28" s="891"/>
      <c r="M28" s="891"/>
      <c r="N28" s="891"/>
      <c r="O28" s="891"/>
      <c r="P28" s="890">
        <v>2000.0</v>
      </c>
      <c r="Q28" s="891"/>
      <c r="R28" s="891"/>
      <c r="S28" s="891"/>
      <c r="T28" s="891"/>
      <c r="U28" s="891"/>
      <c r="V28" s="895">
        <f t="shared" si="11"/>
        <v>2000</v>
      </c>
      <c r="W28" s="896">
        <f t="shared" si="12"/>
        <v>4000</v>
      </c>
      <c r="X28" s="888" t="s">
        <v>124</v>
      </c>
      <c r="Y28" s="888" t="s">
        <v>719</v>
      </c>
      <c r="Z28" s="888" t="s">
        <v>721</v>
      </c>
    </row>
    <row r="29">
      <c r="A29" s="437"/>
      <c r="B29" s="439" t="s">
        <v>722</v>
      </c>
      <c r="C29" s="437"/>
      <c r="D29" s="442">
        <f t="shared" ref="D29:W29" si="13">SUM(D25:D28)</f>
        <v>2000</v>
      </c>
      <c r="E29" s="442">
        <f t="shared" si="13"/>
        <v>2000</v>
      </c>
      <c r="F29" s="442">
        <f t="shared" si="13"/>
        <v>0</v>
      </c>
      <c r="G29" s="442">
        <f t="shared" si="13"/>
        <v>0</v>
      </c>
      <c r="H29" s="442">
        <f t="shared" si="13"/>
        <v>0</v>
      </c>
      <c r="I29" s="442">
        <f t="shared" si="13"/>
        <v>2000</v>
      </c>
      <c r="J29" s="442">
        <f t="shared" si="13"/>
        <v>0</v>
      </c>
      <c r="K29" s="442">
        <f t="shared" si="13"/>
        <v>0</v>
      </c>
      <c r="L29" s="442">
        <f t="shared" si="13"/>
        <v>8000</v>
      </c>
      <c r="M29" s="442">
        <f t="shared" si="13"/>
        <v>3000</v>
      </c>
      <c r="N29" s="442">
        <f t="shared" si="13"/>
        <v>0</v>
      </c>
      <c r="O29" s="442">
        <f t="shared" si="13"/>
        <v>0</v>
      </c>
      <c r="P29" s="442">
        <f t="shared" si="13"/>
        <v>2000</v>
      </c>
      <c r="Q29" s="442">
        <f t="shared" si="13"/>
        <v>0</v>
      </c>
      <c r="R29" s="442">
        <f t="shared" si="13"/>
        <v>8000</v>
      </c>
      <c r="S29" s="442">
        <f t="shared" si="13"/>
        <v>0</v>
      </c>
      <c r="T29" s="442">
        <f t="shared" si="13"/>
        <v>0</v>
      </c>
      <c r="U29" s="442">
        <f t="shared" si="13"/>
        <v>0</v>
      </c>
      <c r="V29" s="745">
        <f t="shared" si="13"/>
        <v>17000</v>
      </c>
      <c r="W29" s="746">
        <f t="shared" si="13"/>
        <v>27000</v>
      </c>
    </row>
    <row r="30">
      <c r="D30" s="428"/>
      <c r="E30" s="428"/>
      <c r="F30" s="428"/>
      <c r="G30" s="428"/>
      <c r="H30" s="428"/>
      <c r="I30" s="428"/>
      <c r="J30" s="428"/>
      <c r="K30" s="428"/>
      <c r="L30" s="428"/>
      <c r="M30" s="428"/>
      <c r="N30" s="428"/>
      <c r="O30" s="428"/>
      <c r="P30" s="428"/>
      <c r="Q30" s="428"/>
      <c r="R30" s="428"/>
      <c r="S30" s="428"/>
      <c r="T30" s="428"/>
      <c r="U30" s="428"/>
      <c r="V30" s="428"/>
      <c r="W30" s="428"/>
    </row>
    <row r="31">
      <c r="A31" s="900" t="s">
        <v>608</v>
      </c>
      <c r="B31" s="901"/>
      <c r="C31" s="901"/>
      <c r="D31" s="902"/>
      <c r="E31" s="902"/>
      <c r="F31" s="902"/>
      <c r="G31" s="902"/>
      <c r="H31" s="902"/>
      <c r="I31" s="902"/>
      <c r="J31" s="902"/>
      <c r="K31" s="902"/>
      <c r="L31" s="902"/>
      <c r="M31" s="902"/>
      <c r="N31" s="902"/>
      <c r="O31" s="902"/>
      <c r="P31" s="902"/>
      <c r="Q31" s="902"/>
      <c r="R31" s="902"/>
      <c r="S31" s="902"/>
      <c r="T31" s="902"/>
      <c r="U31" s="902"/>
      <c r="V31" s="903"/>
      <c r="W31" s="904"/>
      <c r="X31" s="901"/>
      <c r="Y31" s="901"/>
      <c r="Z31" s="901"/>
    </row>
    <row r="32">
      <c r="A32" s="888" t="s">
        <v>613</v>
      </c>
      <c r="B32" s="888" t="s">
        <v>735</v>
      </c>
      <c r="C32" s="888">
        <v>18.0</v>
      </c>
      <c r="D32" s="891">
        <f t="shared" ref="D32:U32" si="14">10%*SUM(D5,D10:D12,D16,D25:D27)</f>
        <v>0</v>
      </c>
      <c r="E32" s="891">
        <f t="shared" si="14"/>
        <v>340</v>
      </c>
      <c r="F32" s="891">
        <f t="shared" si="14"/>
        <v>60</v>
      </c>
      <c r="G32" s="891">
        <f t="shared" si="14"/>
        <v>160</v>
      </c>
      <c r="H32" s="891">
        <f t="shared" si="14"/>
        <v>80</v>
      </c>
      <c r="I32" s="891">
        <f t="shared" si="14"/>
        <v>830</v>
      </c>
      <c r="J32" s="891">
        <f t="shared" si="14"/>
        <v>80</v>
      </c>
      <c r="K32" s="891">
        <f t="shared" si="14"/>
        <v>280</v>
      </c>
      <c r="L32" s="891">
        <f t="shared" si="14"/>
        <v>880</v>
      </c>
      <c r="M32" s="891">
        <f t="shared" si="14"/>
        <v>380</v>
      </c>
      <c r="N32" s="891">
        <f t="shared" si="14"/>
        <v>730</v>
      </c>
      <c r="O32" s="891">
        <f t="shared" si="14"/>
        <v>80</v>
      </c>
      <c r="P32" s="891">
        <f t="shared" si="14"/>
        <v>80</v>
      </c>
      <c r="Q32" s="891">
        <f t="shared" si="14"/>
        <v>380</v>
      </c>
      <c r="R32" s="891">
        <f t="shared" si="14"/>
        <v>880</v>
      </c>
      <c r="S32" s="891">
        <f t="shared" si="14"/>
        <v>580</v>
      </c>
      <c r="T32" s="891">
        <f t="shared" si="14"/>
        <v>80</v>
      </c>
      <c r="U32" s="891">
        <f t="shared" si="14"/>
        <v>80</v>
      </c>
      <c r="V32" s="895">
        <f>SUM(D32:O32)</f>
        <v>3900</v>
      </c>
      <c r="W32" s="896">
        <f>SUM(D32:U32)</f>
        <v>5980</v>
      </c>
      <c r="X32" s="888" t="s">
        <v>129</v>
      </c>
      <c r="Y32" s="888" t="s">
        <v>741</v>
      </c>
      <c r="Z32" s="888" t="s">
        <v>742</v>
      </c>
    </row>
    <row r="33">
      <c r="A33" s="437"/>
      <c r="B33" s="439" t="s">
        <v>623</v>
      </c>
      <c r="C33" s="437"/>
      <c r="D33" s="442">
        <f t="shared" ref="D33:W33" si="15">SUM(D32)</f>
        <v>0</v>
      </c>
      <c r="E33" s="442">
        <f t="shared" si="15"/>
        <v>340</v>
      </c>
      <c r="F33" s="442">
        <f t="shared" si="15"/>
        <v>60</v>
      </c>
      <c r="G33" s="442">
        <f t="shared" si="15"/>
        <v>160</v>
      </c>
      <c r="H33" s="442">
        <f t="shared" si="15"/>
        <v>80</v>
      </c>
      <c r="I33" s="442">
        <f t="shared" si="15"/>
        <v>830</v>
      </c>
      <c r="J33" s="442">
        <f t="shared" si="15"/>
        <v>80</v>
      </c>
      <c r="K33" s="442">
        <f t="shared" si="15"/>
        <v>280</v>
      </c>
      <c r="L33" s="442">
        <f t="shared" si="15"/>
        <v>880</v>
      </c>
      <c r="M33" s="442">
        <f t="shared" si="15"/>
        <v>380</v>
      </c>
      <c r="N33" s="442">
        <f t="shared" si="15"/>
        <v>730</v>
      </c>
      <c r="O33" s="442">
        <f t="shared" si="15"/>
        <v>80</v>
      </c>
      <c r="P33" s="442">
        <f t="shared" si="15"/>
        <v>80</v>
      </c>
      <c r="Q33" s="442">
        <f t="shared" si="15"/>
        <v>380</v>
      </c>
      <c r="R33" s="442">
        <f t="shared" si="15"/>
        <v>880</v>
      </c>
      <c r="S33" s="442">
        <f t="shared" si="15"/>
        <v>580</v>
      </c>
      <c r="T33" s="442">
        <f t="shared" si="15"/>
        <v>80</v>
      </c>
      <c r="U33" s="442">
        <f t="shared" si="15"/>
        <v>80</v>
      </c>
      <c r="V33" s="745">
        <f t="shared" si="15"/>
        <v>3900</v>
      </c>
      <c r="W33" s="746">
        <f t="shared" si="15"/>
        <v>5980</v>
      </c>
    </row>
    <row r="34">
      <c r="D34" s="428"/>
      <c r="E34" s="428"/>
      <c r="F34" s="428"/>
      <c r="G34" s="428"/>
      <c r="H34" s="428"/>
      <c r="I34" s="428"/>
      <c r="J34" s="428"/>
      <c r="K34" s="428"/>
      <c r="L34" s="428"/>
      <c r="M34" s="428"/>
      <c r="N34" s="428"/>
      <c r="O34" s="428"/>
      <c r="P34" s="428"/>
      <c r="Q34" s="428"/>
      <c r="R34" s="428"/>
      <c r="S34" s="428"/>
      <c r="T34" s="428"/>
      <c r="U34" s="428"/>
      <c r="V34" s="428"/>
      <c r="W34" s="428"/>
    </row>
    <row r="35">
      <c r="A35" s="768"/>
      <c r="B35" s="769" t="s">
        <v>750</v>
      </c>
      <c r="C35" s="768"/>
      <c r="D35" s="772">
        <f t="shared" ref="D35:W35" si="16">D7+D13+D17+D22+D29+D33</f>
        <v>2850</v>
      </c>
      <c r="E35" s="774">
        <f t="shared" si="16"/>
        <v>4590</v>
      </c>
      <c r="F35" s="774">
        <f t="shared" si="16"/>
        <v>1510</v>
      </c>
      <c r="G35" s="774">
        <f t="shared" si="16"/>
        <v>2610</v>
      </c>
      <c r="H35" s="774">
        <f t="shared" si="16"/>
        <v>1730</v>
      </c>
      <c r="I35" s="774">
        <f t="shared" si="16"/>
        <v>9980</v>
      </c>
      <c r="J35" s="774">
        <f t="shared" si="16"/>
        <v>1730</v>
      </c>
      <c r="K35" s="774">
        <f t="shared" si="16"/>
        <v>3930</v>
      </c>
      <c r="L35" s="774">
        <f t="shared" si="16"/>
        <v>10530</v>
      </c>
      <c r="M35" s="774">
        <f t="shared" si="16"/>
        <v>5030</v>
      </c>
      <c r="N35" s="774">
        <f t="shared" si="16"/>
        <v>8880</v>
      </c>
      <c r="O35" s="774">
        <f t="shared" si="16"/>
        <v>1730</v>
      </c>
      <c r="P35" s="774">
        <f t="shared" si="16"/>
        <v>3730</v>
      </c>
      <c r="Q35" s="774">
        <f t="shared" si="16"/>
        <v>5030</v>
      </c>
      <c r="R35" s="774">
        <f t="shared" si="16"/>
        <v>10530</v>
      </c>
      <c r="S35" s="774">
        <f t="shared" si="16"/>
        <v>7230</v>
      </c>
      <c r="T35" s="774">
        <f t="shared" si="16"/>
        <v>1730</v>
      </c>
      <c r="U35" s="774">
        <f t="shared" si="16"/>
        <v>1730</v>
      </c>
      <c r="V35" s="778">
        <f t="shared" si="16"/>
        <v>55100</v>
      </c>
      <c r="W35" s="779">
        <f t="shared" si="16"/>
        <v>85080</v>
      </c>
    </row>
    <row r="38">
      <c r="A38" s="780" t="s">
        <v>553</v>
      </c>
      <c r="B38" s="781"/>
      <c r="C38" s="781"/>
      <c r="D38" s="781"/>
      <c r="E38" s="781"/>
      <c r="F38" s="781"/>
      <c r="H38" s="780" t="s">
        <v>758</v>
      </c>
    </row>
    <row r="39">
      <c r="A39" s="928" t="s">
        <v>630</v>
      </c>
      <c r="B39" s="790" t="s">
        <v>143</v>
      </c>
      <c r="C39" s="790" t="s">
        <v>144</v>
      </c>
      <c r="D39" s="790" t="s">
        <v>632</v>
      </c>
      <c r="E39" s="790" t="s">
        <v>633</v>
      </c>
      <c r="F39" s="792" t="s">
        <v>634</v>
      </c>
      <c r="H39" s="930" t="s">
        <v>760</v>
      </c>
    </row>
    <row r="40">
      <c r="A40" s="931" t="s">
        <v>581</v>
      </c>
      <c r="B40" s="802">
        <f t="shared" ref="B40:C40" si="17">V7</f>
        <v>13000</v>
      </c>
      <c r="C40" s="802">
        <f t="shared" si="17"/>
        <v>19000</v>
      </c>
      <c r="D40" s="804">
        <f t="shared" ref="D40:D45" si="19">C40/$W$35</f>
        <v>0.223319229</v>
      </c>
      <c r="E40" s="805" t="s">
        <v>765</v>
      </c>
      <c r="F40" s="806" t="s">
        <v>767</v>
      </c>
    </row>
    <row r="41">
      <c r="A41" s="937" t="s">
        <v>615</v>
      </c>
      <c r="B41" s="938">
        <f t="shared" ref="B41:C41" si="18">V13</f>
        <v>15000</v>
      </c>
      <c r="C41" s="938">
        <f t="shared" si="18"/>
        <v>23600</v>
      </c>
      <c r="D41" s="939">
        <f t="shared" si="19"/>
        <v>0.2773859897</v>
      </c>
      <c r="E41" s="940" t="s">
        <v>769</v>
      </c>
      <c r="F41" s="941" t="s">
        <v>770</v>
      </c>
    </row>
    <row r="42">
      <c r="A42" s="942" t="s">
        <v>679</v>
      </c>
      <c r="B42" s="945">
        <f t="shared" ref="B42:C42" si="20">V17</f>
        <v>2000</v>
      </c>
      <c r="C42" s="945">
        <f t="shared" si="20"/>
        <v>3200</v>
      </c>
      <c r="D42" s="946">
        <f t="shared" si="19"/>
        <v>0.03761165961</v>
      </c>
      <c r="E42" s="947" t="s">
        <v>788</v>
      </c>
      <c r="F42" s="949" t="s">
        <v>682</v>
      </c>
    </row>
    <row r="43">
      <c r="A43" s="950" t="s">
        <v>692</v>
      </c>
      <c r="B43" s="951">
        <f t="shared" ref="B43:C43" si="21">V22</f>
        <v>4200</v>
      </c>
      <c r="C43" s="951">
        <f t="shared" si="21"/>
        <v>6300</v>
      </c>
      <c r="D43" s="953">
        <f t="shared" si="19"/>
        <v>0.07404795487</v>
      </c>
      <c r="E43" s="954" t="s">
        <v>652</v>
      </c>
      <c r="F43" s="957" t="s">
        <v>792</v>
      </c>
    </row>
    <row r="44">
      <c r="A44" s="958" t="s">
        <v>701</v>
      </c>
      <c r="B44" s="959">
        <f t="shared" ref="B44:C44" si="22">V29</f>
        <v>17000</v>
      </c>
      <c r="C44" s="959">
        <f t="shared" si="22"/>
        <v>27000</v>
      </c>
      <c r="D44" s="960">
        <f t="shared" si="19"/>
        <v>0.317348378</v>
      </c>
      <c r="E44" s="962" t="s">
        <v>794</v>
      </c>
      <c r="F44" s="963" t="s">
        <v>795</v>
      </c>
    </row>
    <row r="45">
      <c r="A45" s="965" t="s">
        <v>608</v>
      </c>
      <c r="B45" s="821">
        <f t="shared" ref="B45:C45" si="23">V33</f>
        <v>3900</v>
      </c>
      <c r="C45" s="821">
        <f t="shared" si="23"/>
        <v>5980</v>
      </c>
      <c r="D45" s="823">
        <f t="shared" si="19"/>
        <v>0.0702867889</v>
      </c>
      <c r="E45" s="824" t="s">
        <v>657</v>
      </c>
      <c r="F45" s="825" t="s">
        <v>798</v>
      </c>
    </row>
    <row r="46">
      <c r="A46" s="826" t="s">
        <v>659</v>
      </c>
      <c r="B46" s="828">
        <f t="shared" ref="B46:C46" si="24">SUM(B40:B45)</f>
        <v>55100</v>
      </c>
      <c r="C46" s="828">
        <f t="shared" si="24"/>
        <v>85080</v>
      </c>
      <c r="D46" s="832">
        <v>1.0</v>
      </c>
      <c r="E46" s="833"/>
      <c r="F46" s="835"/>
    </row>
    <row r="48">
      <c r="A48" s="839" t="s">
        <v>801</v>
      </c>
      <c r="B48" s="840"/>
    </row>
    <row r="49">
      <c r="A49" s="842" t="s">
        <v>802</v>
      </c>
      <c r="B49" s="692">
        <f>W5</f>
        <v>10000</v>
      </c>
    </row>
    <row r="50">
      <c r="A50" s="973" t="s">
        <v>803</v>
      </c>
      <c r="B50" s="974">
        <f>W10</f>
        <v>9600</v>
      </c>
    </row>
    <row r="51">
      <c r="A51" s="842" t="s">
        <v>804</v>
      </c>
      <c r="B51" s="692">
        <f>W11+W12</f>
        <v>14000</v>
      </c>
    </row>
    <row r="52">
      <c r="A52" s="973" t="s">
        <v>805</v>
      </c>
      <c r="B52" s="974">
        <f>W5+W6+W25+W26</f>
        <v>39000</v>
      </c>
    </row>
    <row r="53">
      <c r="A53" s="842" t="s">
        <v>806</v>
      </c>
      <c r="B53" s="692">
        <f>W17</f>
        <v>3200</v>
      </c>
    </row>
    <row r="54">
      <c r="A54" s="973" t="s">
        <v>807</v>
      </c>
      <c r="B54" s="974">
        <f>W35</f>
        <v>85080</v>
      </c>
    </row>
    <row r="55">
      <c r="A55" s="842" t="s">
        <v>808</v>
      </c>
      <c r="B55" s="692">
        <f>W35/18</f>
        <v>4726.666667</v>
      </c>
    </row>
    <row r="56">
      <c r="A56" s="976" t="s">
        <v>809</v>
      </c>
      <c r="B56" s="978">
        <f>W33</f>
        <v>5980</v>
      </c>
    </row>
  </sheetData>
  <mergeCells count="2">
    <mergeCell ref="H38:Z38"/>
    <mergeCell ref="H39:Z56"/>
  </mergeCells>
  <conditionalFormatting sqref="A5:Z33 A45">
    <cfRule type="expression" dxfId="4" priority="1" stopIfTrue="1">
      <formula>$X5="OpEx"</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75" outlineLevelRow="1"/>
  <cols>
    <col customWidth="1" min="1" max="1" width="38.71"/>
    <col customWidth="1" min="2" max="2" width="18.0"/>
    <col customWidth="1" min="3" max="4" width="18.71"/>
    <col customWidth="1" min="5" max="5" width="15.14"/>
    <col customWidth="1" min="6" max="6" width="20.86"/>
    <col customWidth="1" min="7" max="8" width="19.43"/>
    <col customWidth="1" min="9" max="9" width="15.14"/>
    <col customWidth="1" min="10" max="10" width="16.57"/>
    <col customWidth="1" min="11" max="12" width="18.71"/>
    <col customWidth="1" min="13" max="13" width="19.43"/>
    <col customWidth="1" min="14" max="15" width="20.14"/>
    <col customWidth="1" min="16" max="16" width="18.0"/>
    <col customWidth="1" min="17" max="20" width="13.0"/>
    <col customWidth="1" min="21" max="21" width="18.0"/>
  </cols>
  <sheetData>
    <row r="1" ht="24.0" customHeight="1">
      <c r="A1" s="852" t="s">
        <v>680</v>
      </c>
    </row>
    <row r="2" ht="18.0" customHeight="1">
      <c r="A2" s="103" t="s">
        <v>683</v>
      </c>
    </row>
    <row r="3" ht="36.0" customHeight="1">
      <c r="A3" s="106" t="s">
        <v>684</v>
      </c>
    </row>
    <row r="4">
      <c r="A4" s="109"/>
      <c r="B4" s="109"/>
      <c r="C4" s="109"/>
      <c r="D4" s="109"/>
      <c r="E4" s="109"/>
      <c r="F4" s="109"/>
      <c r="G4" s="109"/>
      <c r="H4" s="109"/>
      <c r="I4" s="109"/>
      <c r="J4" s="109"/>
      <c r="K4" s="109"/>
      <c r="L4" s="109"/>
      <c r="M4" s="109"/>
      <c r="N4" s="109"/>
      <c r="O4" s="109"/>
      <c r="P4" s="109"/>
      <c r="Q4" s="109"/>
      <c r="R4" s="109"/>
      <c r="S4" s="109"/>
      <c r="T4" s="109"/>
      <c r="U4" s="109"/>
    </row>
    <row r="5" ht="18.75" customHeight="1">
      <c r="A5" s="116" t="s">
        <v>689</v>
      </c>
    </row>
    <row r="6">
      <c r="A6" s="855" t="s">
        <v>19</v>
      </c>
      <c r="B6" s="857" t="s">
        <v>89</v>
      </c>
      <c r="C6" s="858" t="s">
        <v>690</v>
      </c>
      <c r="D6" s="109"/>
      <c r="E6" s="109"/>
      <c r="F6" s="109"/>
      <c r="G6" s="109"/>
      <c r="H6" s="109"/>
      <c r="I6" s="109"/>
      <c r="J6" s="109"/>
      <c r="K6" s="109"/>
      <c r="L6" s="109"/>
      <c r="M6" s="109"/>
      <c r="N6" s="109"/>
      <c r="O6" s="109"/>
      <c r="P6" s="109"/>
      <c r="Q6" s="109"/>
      <c r="R6" s="109"/>
      <c r="S6" s="109"/>
      <c r="T6" s="109"/>
      <c r="U6" s="109"/>
    </row>
    <row r="7">
      <c r="A7" s="860" t="s">
        <v>691</v>
      </c>
      <c r="B7" s="868">
        <f t="array" ref="B7">IFERROR(MATCH(TRUE,C73:T73&lt;0,0)-1,18)</f>
        <v>18</v>
      </c>
      <c r="C7" s="869" t="s">
        <v>699</v>
      </c>
      <c r="D7" s="109"/>
      <c r="E7" s="109"/>
      <c r="F7" s="109"/>
      <c r="G7" s="109"/>
      <c r="H7" s="109"/>
      <c r="I7" s="109"/>
      <c r="J7" s="109"/>
      <c r="K7" s="109"/>
      <c r="L7" s="109"/>
      <c r="M7" s="109"/>
      <c r="N7" s="109"/>
      <c r="O7" s="109"/>
      <c r="P7" s="109"/>
      <c r="Q7" s="109"/>
      <c r="R7" s="109"/>
      <c r="S7" s="109"/>
      <c r="T7" s="109"/>
      <c r="U7" s="109"/>
    </row>
    <row r="8">
      <c r="A8" s="633" t="s">
        <v>700</v>
      </c>
      <c r="B8" s="884" t="str">
        <f t="array" ref="B8">IFERROR(INDEX(C51:T51,1,MATCH(TRUE,C73:T73&lt;0,0)),"None through M18")</f>
        <v>None through M18</v>
      </c>
      <c r="C8" s="639" t="s">
        <v>711</v>
      </c>
      <c r="D8" s="109"/>
      <c r="E8" s="109"/>
      <c r="F8" s="109"/>
      <c r="G8" s="109"/>
      <c r="H8" s="109"/>
      <c r="I8" s="109"/>
      <c r="J8" s="109"/>
      <c r="K8" s="109"/>
      <c r="L8" s="109"/>
      <c r="M8" s="109"/>
      <c r="N8" s="109"/>
      <c r="O8" s="109"/>
      <c r="P8" s="109"/>
      <c r="Q8" s="109"/>
      <c r="R8" s="109"/>
      <c r="S8" s="109"/>
      <c r="T8" s="109"/>
      <c r="U8" s="109"/>
    </row>
    <row r="9">
      <c r="A9" s="860" t="s">
        <v>713</v>
      </c>
      <c r="B9" s="893">
        <f>MIN(B73:T73)</f>
        <v>43944.42</v>
      </c>
      <c r="C9" s="869" t="s">
        <v>718</v>
      </c>
      <c r="D9" s="109"/>
      <c r="E9" s="109"/>
      <c r="F9" s="109"/>
      <c r="G9" s="109"/>
      <c r="H9" s="109"/>
      <c r="I9" s="109"/>
      <c r="J9" s="109"/>
      <c r="K9" s="109"/>
      <c r="L9" s="109"/>
      <c r="M9" s="109"/>
      <c r="N9" s="109"/>
      <c r="O9" s="109"/>
      <c r="P9" s="109"/>
      <c r="Q9" s="109"/>
      <c r="R9" s="109"/>
      <c r="S9" s="109"/>
      <c r="T9" s="109"/>
      <c r="U9" s="109"/>
    </row>
    <row r="10">
      <c r="A10" s="633" t="s">
        <v>720</v>
      </c>
      <c r="B10" s="899">
        <f>T73</f>
        <v>43944.42</v>
      </c>
      <c r="C10" s="639" t="s">
        <v>724</v>
      </c>
      <c r="D10" s="109"/>
      <c r="E10" s="109"/>
      <c r="F10" s="109"/>
      <c r="G10" s="109"/>
      <c r="H10" s="109"/>
      <c r="I10" s="109"/>
      <c r="J10" s="109"/>
      <c r="K10" s="109"/>
      <c r="L10" s="109"/>
      <c r="M10" s="109"/>
      <c r="N10" s="109"/>
      <c r="O10" s="109"/>
      <c r="P10" s="109"/>
      <c r="Q10" s="109"/>
      <c r="R10" s="109"/>
      <c r="S10" s="109"/>
      <c r="T10" s="109"/>
      <c r="U10" s="109"/>
    </row>
    <row r="11">
      <c r="A11" s="860" t="s">
        <v>725</v>
      </c>
      <c r="B11" s="893">
        <f>SUM(C69:T69)</f>
        <v>653555.58</v>
      </c>
      <c r="C11" s="869" t="s">
        <v>726</v>
      </c>
      <c r="D11" s="109"/>
      <c r="E11" s="109"/>
      <c r="F11" s="109"/>
      <c r="G11" s="109"/>
      <c r="H11" s="109"/>
      <c r="I11" s="109"/>
      <c r="J11" s="109"/>
      <c r="K11" s="109"/>
      <c r="L11" s="109"/>
      <c r="M11" s="109"/>
      <c r="N11" s="109"/>
      <c r="O11" s="109"/>
      <c r="P11" s="109"/>
      <c r="Q11" s="109"/>
      <c r="R11" s="109"/>
      <c r="S11" s="109"/>
      <c r="T11" s="109"/>
      <c r="U11" s="109"/>
    </row>
    <row r="12">
      <c r="A12" s="633" t="s">
        <v>727</v>
      </c>
      <c r="B12" s="899">
        <f>SUM(C69:T69)-SUM(C62:T62)</f>
        <v>0</v>
      </c>
      <c r="C12" s="639" t="s">
        <v>728</v>
      </c>
      <c r="D12" s="109"/>
      <c r="E12" s="109"/>
      <c r="F12" s="109"/>
      <c r="G12" s="109"/>
      <c r="H12" s="109"/>
      <c r="I12" s="109"/>
      <c r="J12" s="109"/>
      <c r="K12" s="109"/>
      <c r="L12" s="109"/>
      <c r="M12" s="109"/>
      <c r="N12" s="109"/>
      <c r="O12" s="109"/>
      <c r="P12" s="109"/>
      <c r="Q12" s="109"/>
      <c r="R12" s="109"/>
      <c r="S12" s="109"/>
      <c r="T12" s="109"/>
      <c r="U12" s="109"/>
    </row>
    <row r="13">
      <c r="A13" s="860" t="s">
        <v>730</v>
      </c>
      <c r="B13" s="893">
        <f>SUM(B55:T55)</f>
        <v>697500</v>
      </c>
      <c r="C13" s="869" t="s">
        <v>731</v>
      </c>
      <c r="D13" s="109"/>
      <c r="E13" s="109"/>
      <c r="F13" s="109"/>
      <c r="G13" s="109"/>
      <c r="H13" s="109"/>
      <c r="I13" s="109"/>
      <c r="J13" s="109"/>
      <c r="K13" s="109"/>
      <c r="L13" s="109"/>
      <c r="M13" s="109"/>
      <c r="N13" s="109"/>
      <c r="O13" s="109"/>
      <c r="P13" s="109"/>
      <c r="Q13" s="109"/>
      <c r="R13" s="109"/>
      <c r="S13" s="109"/>
      <c r="T13" s="109"/>
      <c r="U13" s="109"/>
    </row>
    <row r="14">
      <c r="A14" s="669" t="s">
        <v>733</v>
      </c>
      <c r="B14" s="906" t="str">
        <f>IF(AND(IF($D$18="Not Closed",99,VALUE(SUBSTITUTE($D$18,"M","")))&lt;=IF($D$19="Not Closed",99,VALUE(SUBSTITUTE($D$19,"M",""))),IF($D$19="Not Closed",99,VALUE(SUBSTITUTE($D$19,"M","")))&lt;=IF($D$20="Not Closed",99,VALUE(SUBSTITUTE($D$20,"M",""))),ABS(SUM(C62:T62)-'Assumptions &amp; Funding'!$C$36)&lt;1),"PASS","REVIEW")</f>
        <v>PASS</v>
      </c>
      <c r="C14" s="676" t="s">
        <v>739</v>
      </c>
      <c r="D14" s="109"/>
      <c r="E14" s="109"/>
      <c r="F14" s="109"/>
      <c r="G14" s="109"/>
      <c r="H14" s="109"/>
      <c r="I14" s="109"/>
      <c r="J14" s="109"/>
      <c r="K14" s="109"/>
      <c r="L14" s="109"/>
      <c r="M14" s="109"/>
      <c r="N14" s="109"/>
      <c r="O14" s="109"/>
      <c r="P14" s="109"/>
      <c r="Q14" s="109"/>
      <c r="R14" s="109"/>
      <c r="S14" s="109"/>
      <c r="T14" s="109"/>
      <c r="U14" s="109"/>
    </row>
    <row r="15">
      <c r="A15" s="109"/>
      <c r="B15" s="109"/>
      <c r="C15" s="109"/>
      <c r="D15" s="109"/>
      <c r="E15" s="109"/>
      <c r="F15" s="109"/>
      <c r="G15" s="109"/>
      <c r="H15" s="109"/>
      <c r="I15" s="109"/>
      <c r="J15" s="109"/>
      <c r="K15" s="109"/>
      <c r="L15" s="109"/>
      <c r="M15" s="109"/>
      <c r="N15" s="109"/>
      <c r="O15" s="109"/>
      <c r="P15" s="109"/>
      <c r="Q15" s="109"/>
      <c r="R15" s="109"/>
      <c r="S15" s="109"/>
      <c r="T15" s="109"/>
      <c r="U15" s="109"/>
    </row>
    <row r="16" ht="18.75" customHeight="1">
      <c r="A16" s="116" t="s">
        <v>740</v>
      </c>
    </row>
    <row r="17">
      <c r="A17" s="855" t="s">
        <v>62</v>
      </c>
      <c r="B17" s="857" t="s">
        <v>64</v>
      </c>
      <c r="C17" s="857" t="s">
        <v>65</v>
      </c>
      <c r="D17" s="857" t="s">
        <v>743</v>
      </c>
      <c r="E17" s="857" t="s">
        <v>63</v>
      </c>
      <c r="F17" s="857" t="s">
        <v>70</v>
      </c>
      <c r="G17" s="858" t="s">
        <v>744</v>
      </c>
      <c r="H17" s="109"/>
      <c r="I17" s="109"/>
      <c r="J17" s="109"/>
      <c r="K17" s="109"/>
      <c r="L17" s="109"/>
      <c r="M17" s="109"/>
      <c r="N17" s="109"/>
      <c r="O17" s="109"/>
      <c r="P17" s="109"/>
      <c r="Q17" s="109"/>
      <c r="R17" s="109"/>
      <c r="S17" s="109"/>
      <c r="T17" s="109"/>
      <c r="U17" s="109"/>
    </row>
    <row r="18">
      <c r="A18" s="860" t="s">
        <v>71</v>
      </c>
      <c r="B18" s="911">
        <f>'Assumptions &amp; Funding'!C15</f>
        <v>200000</v>
      </c>
      <c r="C18" s="912">
        <f>'Assumptions &amp; Funding'!D15</f>
        <v>186000</v>
      </c>
      <c r="D18" s="915" t="s">
        <v>751</v>
      </c>
      <c r="E18" s="916">
        <f>'Assumptions &amp; Funding'!B15</f>
        <v>1</v>
      </c>
      <c r="F18" s="142" t="s">
        <v>377</v>
      </c>
      <c r="G18" s="869" t="s">
        <v>752</v>
      </c>
      <c r="H18" s="109"/>
      <c r="I18" s="109"/>
      <c r="J18" s="109"/>
      <c r="K18" s="109"/>
      <c r="L18" s="109"/>
      <c r="M18" s="109"/>
      <c r="N18" s="109"/>
      <c r="O18" s="109"/>
      <c r="P18" s="109"/>
      <c r="Q18" s="109"/>
      <c r="R18" s="109"/>
      <c r="S18" s="109"/>
      <c r="T18" s="109"/>
      <c r="U18" s="109"/>
    </row>
    <row r="19">
      <c r="A19" s="633" t="s">
        <v>76</v>
      </c>
      <c r="B19" s="919">
        <f>'Assumptions &amp; Funding'!C16</f>
        <v>250000</v>
      </c>
      <c r="C19" s="921">
        <f>'Assumptions &amp; Funding'!D16</f>
        <v>232500</v>
      </c>
      <c r="D19" s="915" t="s">
        <v>22</v>
      </c>
      <c r="E19" s="923">
        <f>'Assumptions &amp; Funding'!B16</f>
        <v>2</v>
      </c>
      <c r="F19" s="924" t="s">
        <v>377</v>
      </c>
      <c r="G19" s="639" t="s">
        <v>752</v>
      </c>
      <c r="H19" s="109"/>
      <c r="I19" s="109"/>
      <c r="J19" s="109"/>
      <c r="K19" s="109"/>
      <c r="L19" s="109"/>
      <c r="M19" s="109"/>
      <c r="N19" s="109"/>
      <c r="O19" s="109"/>
      <c r="P19" s="109"/>
      <c r="Q19" s="109"/>
      <c r="R19" s="109"/>
      <c r="S19" s="109"/>
      <c r="T19" s="109"/>
      <c r="U19" s="109"/>
    </row>
    <row r="20">
      <c r="A20" s="860" t="s">
        <v>78</v>
      </c>
      <c r="B20" s="911">
        <f>'Assumptions &amp; Funding'!C17</f>
        <v>300000</v>
      </c>
      <c r="C20" s="912">
        <f>'Assumptions &amp; Funding'!D17</f>
        <v>279000</v>
      </c>
      <c r="D20" s="915" t="s">
        <v>25</v>
      </c>
      <c r="E20" s="916">
        <f>'Assumptions &amp; Funding'!B17</f>
        <v>3</v>
      </c>
      <c r="F20" s="142" t="s">
        <v>377</v>
      </c>
      <c r="G20" s="869" t="s">
        <v>752</v>
      </c>
      <c r="H20" s="109"/>
      <c r="I20" s="109"/>
      <c r="J20" s="109"/>
      <c r="K20" s="109"/>
      <c r="L20" s="109"/>
      <c r="M20" s="109"/>
      <c r="N20" s="109"/>
      <c r="O20" s="109"/>
      <c r="P20" s="109"/>
      <c r="Q20" s="109"/>
      <c r="R20" s="109"/>
      <c r="S20" s="109"/>
      <c r="T20" s="109"/>
      <c r="U20" s="109"/>
    </row>
    <row r="21">
      <c r="A21" s="929" t="s">
        <v>459</v>
      </c>
      <c r="B21" s="932">
        <f t="shared" ref="B21:C21" si="1">SUM(B18:B20)</f>
        <v>750000</v>
      </c>
      <c r="C21" s="933">
        <f t="shared" si="1"/>
        <v>697500</v>
      </c>
      <c r="D21" s="934"/>
      <c r="E21" s="934"/>
      <c r="F21" s="934"/>
      <c r="G21" s="935" t="s">
        <v>764</v>
      </c>
      <c r="H21" s="936"/>
      <c r="I21" s="936"/>
      <c r="J21" s="936"/>
      <c r="K21" s="936"/>
      <c r="L21" s="936"/>
      <c r="M21" s="936"/>
      <c r="N21" s="936"/>
      <c r="O21" s="936"/>
      <c r="P21" s="936"/>
      <c r="Q21" s="936"/>
      <c r="R21" s="936"/>
      <c r="S21" s="936"/>
      <c r="T21" s="936"/>
      <c r="U21" s="936"/>
    </row>
    <row r="22">
      <c r="A22" s="109"/>
      <c r="B22" s="109"/>
      <c r="C22" s="109"/>
      <c r="D22" s="109"/>
      <c r="E22" s="109"/>
      <c r="F22" s="109"/>
      <c r="G22" s="109"/>
      <c r="H22" s="109"/>
      <c r="I22" s="109"/>
      <c r="J22" s="109"/>
      <c r="K22" s="109"/>
      <c r="L22" s="109"/>
      <c r="M22" s="109"/>
      <c r="N22" s="109"/>
      <c r="O22" s="109"/>
      <c r="P22" s="109"/>
      <c r="Q22" s="109"/>
      <c r="R22" s="109"/>
      <c r="S22" s="109"/>
      <c r="T22" s="109"/>
      <c r="U22" s="109"/>
    </row>
    <row r="23" ht="18.75" customHeight="1">
      <c r="A23" s="116" t="s">
        <v>771</v>
      </c>
    </row>
    <row r="24" ht="31.5" customHeight="1">
      <c r="A24" s="943" t="s">
        <v>772</v>
      </c>
      <c r="B24" s="944" t="s">
        <v>268</v>
      </c>
      <c r="C24" s="944" t="s">
        <v>774</v>
      </c>
      <c r="D24" s="944" t="s">
        <v>776</v>
      </c>
      <c r="E24" s="944" t="s">
        <v>777</v>
      </c>
      <c r="F24" s="944" t="s">
        <v>778</v>
      </c>
      <c r="G24" s="944" t="s">
        <v>779</v>
      </c>
      <c r="H24" s="944" t="s">
        <v>780</v>
      </c>
      <c r="I24" s="944" t="s">
        <v>781</v>
      </c>
      <c r="J24" s="944" t="s">
        <v>782</v>
      </c>
      <c r="K24" s="944" t="s">
        <v>783</v>
      </c>
      <c r="L24" s="944" t="s">
        <v>784</v>
      </c>
      <c r="M24" s="944" t="s">
        <v>785</v>
      </c>
      <c r="N24" s="944" t="s">
        <v>786</v>
      </c>
      <c r="O24" s="944" t="s">
        <v>787</v>
      </c>
      <c r="P24" s="948" t="s">
        <v>789</v>
      </c>
      <c r="Q24" s="109"/>
      <c r="R24" s="109"/>
      <c r="S24" s="109"/>
      <c r="T24" s="109"/>
      <c r="U24" s="109"/>
    </row>
    <row r="25" ht="25.5" customHeight="1">
      <c r="A25" s="266" t="s">
        <v>44</v>
      </c>
      <c r="B25" s="142" t="s">
        <v>46</v>
      </c>
      <c r="C25" s="952" t="str">
        <f>'Hiring &amp; Compensation Plan'!C5</f>
        <v>M1</v>
      </c>
      <c r="D25" s="956" t="s">
        <v>20</v>
      </c>
      <c r="E25" s="961">
        <f t="shared" ref="E25:E29" si="2">IF(D25="",VALUE(SUBSTITUTE(C25,"M","")),VALUE(SUBSTITUTE(D25,"M","")))</f>
        <v>1</v>
      </c>
      <c r="F25" s="912">
        <f>'Hiring &amp; Compensation Plan'!V5</f>
        <v>3000</v>
      </c>
      <c r="G25" s="966"/>
      <c r="H25" s="967">
        <f t="shared" ref="H25:H29" si="3">IF(G25="",F25,G25)</f>
        <v>3000</v>
      </c>
      <c r="I25" s="968">
        <f>'Hiring &amp; Compensation Plan'!V6/'Hiring &amp; Compensation Plan'!V5</f>
        <v>1.2987</v>
      </c>
      <c r="J25" s="971">
        <f>'Hiring &amp; Compensation Plan'!V8/'Hiring &amp; Compensation Plan'!V6</f>
        <v>0.2939991273</v>
      </c>
      <c r="K25" s="967">
        <f t="shared" ref="K25:K29" si="4">H25*I25</f>
        <v>3896.1</v>
      </c>
      <c r="L25" s="967">
        <f t="shared" ref="L25:L29" si="5">K25*J25</f>
        <v>1145.45</v>
      </c>
      <c r="M25" s="967">
        <f t="shared" ref="M25:M29" si="6">K25+L25</f>
        <v>5041.55</v>
      </c>
      <c r="N25" s="912">
        <f>'Hiring &amp; Compensation Plan'!X9</f>
        <v>89067.56</v>
      </c>
      <c r="O25" s="967">
        <f t="shared" ref="O25:O29" si="7">SUM(C77:T77)</f>
        <v>89067.56</v>
      </c>
      <c r="P25" s="975">
        <f t="shared" ref="P25:P30" si="8">O25-N25</f>
        <v>0</v>
      </c>
      <c r="Q25" s="109"/>
      <c r="R25" s="109"/>
      <c r="S25" s="109"/>
      <c r="T25" s="109"/>
      <c r="U25" s="109"/>
    </row>
    <row r="26" ht="24.0" customHeight="1">
      <c r="A26" s="289" t="s">
        <v>160</v>
      </c>
      <c r="B26" s="924" t="s">
        <v>295</v>
      </c>
      <c r="C26" s="952" t="str">
        <f>'Hiring &amp; Compensation Plan'!C10</f>
        <v>M2</v>
      </c>
      <c r="D26" s="956" t="s">
        <v>21</v>
      </c>
      <c r="E26" s="961">
        <f t="shared" si="2"/>
        <v>2</v>
      </c>
      <c r="F26" s="912">
        <f>'Hiring &amp; Compensation Plan'!V10</f>
        <v>4000</v>
      </c>
      <c r="G26" s="977"/>
      <c r="H26" s="967">
        <f t="shared" si="3"/>
        <v>4000</v>
      </c>
      <c r="I26" s="968">
        <f>'Hiring &amp; Compensation Plan'!V11/'Hiring &amp; Compensation Plan'!V10</f>
        <v>1.2987025</v>
      </c>
      <c r="J26" s="971">
        <f>'Hiring &amp; Compensation Plan'!V13/'Hiring &amp; Compensation Plan'!V11</f>
        <v>0.2939992031</v>
      </c>
      <c r="K26" s="967">
        <f t="shared" si="4"/>
        <v>5194.81</v>
      </c>
      <c r="L26" s="967">
        <f t="shared" si="5"/>
        <v>1527.27</v>
      </c>
      <c r="M26" s="967">
        <f t="shared" si="6"/>
        <v>6722.08</v>
      </c>
      <c r="N26" s="912">
        <f>'Hiring &amp; Compensation Plan'!X14</f>
        <v>104192.24</v>
      </c>
      <c r="O26" s="967">
        <f t="shared" si="7"/>
        <v>104192.24</v>
      </c>
      <c r="P26" s="975">
        <f t="shared" si="8"/>
        <v>0</v>
      </c>
      <c r="Q26" s="109"/>
      <c r="R26" s="109"/>
      <c r="S26" s="109"/>
      <c r="T26" s="109"/>
      <c r="U26" s="109"/>
    </row>
    <row r="27" ht="24.75" customHeight="1">
      <c r="A27" s="315" t="s">
        <v>246</v>
      </c>
      <c r="B27" s="142" t="s">
        <v>317</v>
      </c>
      <c r="C27" s="952" t="str">
        <f>'Hiring &amp; Compensation Plan'!C15</f>
        <v>M2</v>
      </c>
      <c r="D27" s="956" t="s">
        <v>21</v>
      </c>
      <c r="E27" s="961">
        <f t="shared" si="2"/>
        <v>2</v>
      </c>
      <c r="F27" s="912">
        <f>'Hiring &amp; Compensation Plan'!V15</f>
        <v>2500</v>
      </c>
      <c r="G27" s="977"/>
      <c r="H27" s="967">
        <f t="shared" si="3"/>
        <v>2500</v>
      </c>
      <c r="I27" s="968">
        <f>'Hiring &amp; Compensation Plan'!V16/'Hiring &amp; Compensation Plan'!V15</f>
        <v>1.2987</v>
      </c>
      <c r="J27" s="971">
        <f>'Hiring &amp; Compensation Plan'!V18/'Hiring &amp; Compensation Plan'!V16</f>
        <v>0.294001694</v>
      </c>
      <c r="K27" s="967">
        <f t="shared" si="4"/>
        <v>3246.75</v>
      </c>
      <c r="L27" s="967">
        <f t="shared" si="5"/>
        <v>954.55</v>
      </c>
      <c r="M27" s="967">
        <f t="shared" si="6"/>
        <v>4201.3</v>
      </c>
      <c r="N27" s="912">
        <f>'Hiring &amp; Compensation Plan'!X19</f>
        <v>63762.98</v>
      </c>
      <c r="O27" s="967">
        <f t="shared" si="7"/>
        <v>63762.98</v>
      </c>
      <c r="P27" s="975">
        <f t="shared" si="8"/>
        <v>0</v>
      </c>
      <c r="Q27" s="109"/>
      <c r="R27" s="109"/>
      <c r="S27" s="109"/>
      <c r="T27" s="109"/>
      <c r="U27" s="109"/>
    </row>
    <row r="28" ht="23.25" customHeight="1">
      <c r="A28" s="979" t="s">
        <v>316</v>
      </c>
      <c r="B28" s="924" t="s">
        <v>319</v>
      </c>
      <c r="C28" s="952" t="str">
        <f>'Hiring &amp; Compensation Plan'!C20</f>
        <v>M5</v>
      </c>
      <c r="D28" s="956" t="s">
        <v>24</v>
      </c>
      <c r="E28" s="961">
        <f t="shared" si="2"/>
        <v>5</v>
      </c>
      <c r="F28" s="912">
        <f>'Hiring &amp; Compensation Plan'!V20</f>
        <v>3000</v>
      </c>
      <c r="G28" s="977"/>
      <c r="H28" s="967">
        <f t="shared" si="3"/>
        <v>3000</v>
      </c>
      <c r="I28" s="968">
        <f>'Hiring &amp; Compensation Plan'!V21/'Hiring &amp; Compensation Plan'!V20</f>
        <v>1.2987</v>
      </c>
      <c r="J28" s="971">
        <f>'Hiring &amp; Compensation Plan'!V23/'Hiring &amp; Compensation Plan'!V21</f>
        <v>0.2939991273</v>
      </c>
      <c r="K28" s="967">
        <f t="shared" si="4"/>
        <v>3896.1</v>
      </c>
      <c r="L28" s="967">
        <f t="shared" si="5"/>
        <v>1145.45</v>
      </c>
      <c r="M28" s="967">
        <f t="shared" si="6"/>
        <v>5041.55</v>
      </c>
      <c r="N28" s="912">
        <f>'Hiring &amp; Compensation Plan'!X24</f>
        <v>67220.8</v>
      </c>
      <c r="O28" s="967">
        <f t="shared" si="7"/>
        <v>67220.8</v>
      </c>
      <c r="P28" s="975">
        <f t="shared" si="8"/>
        <v>0</v>
      </c>
      <c r="Q28" s="109"/>
      <c r="R28" s="109"/>
      <c r="S28" s="109"/>
      <c r="T28" s="109"/>
      <c r="U28" s="109"/>
    </row>
    <row r="29" ht="25.5" customHeight="1">
      <c r="A29" s="980" t="s">
        <v>341</v>
      </c>
      <c r="B29" s="142" t="s">
        <v>810</v>
      </c>
      <c r="C29" s="952" t="str">
        <f>'Hiring &amp; Compensation Plan'!C25</f>
        <v>M2</v>
      </c>
      <c r="D29" s="956" t="s">
        <v>20</v>
      </c>
      <c r="E29" s="961">
        <f t="shared" si="2"/>
        <v>1</v>
      </c>
      <c r="F29" s="912">
        <f>MAX('Hiring &amp; Compensation Plan'!E25:V25)</f>
        <v>2250</v>
      </c>
      <c r="G29" s="977"/>
      <c r="H29" s="967">
        <f t="shared" si="3"/>
        <v>2250</v>
      </c>
      <c r="I29" s="968">
        <f>1</f>
        <v>1</v>
      </c>
      <c r="J29" s="971">
        <f>0</f>
        <v>0</v>
      </c>
      <c r="K29" s="967">
        <f t="shared" si="4"/>
        <v>2250</v>
      </c>
      <c r="L29" s="967">
        <f t="shared" si="5"/>
        <v>0</v>
      </c>
      <c r="M29" s="967">
        <f t="shared" si="6"/>
        <v>2250</v>
      </c>
      <c r="N29" s="912">
        <f>'Hiring &amp; Compensation Plan'!X25</f>
        <v>13500</v>
      </c>
      <c r="O29" s="967">
        <f t="shared" si="7"/>
        <v>13500</v>
      </c>
      <c r="P29" s="975">
        <f t="shared" si="8"/>
        <v>0</v>
      </c>
      <c r="Q29" s="109"/>
      <c r="R29" s="109"/>
      <c r="S29" s="109"/>
      <c r="T29" s="109"/>
      <c r="U29" s="109"/>
    </row>
    <row r="30" ht="25.5" customHeight="1">
      <c r="A30" s="929" t="s">
        <v>811</v>
      </c>
      <c r="B30" s="934"/>
      <c r="C30" s="934"/>
      <c r="D30" s="934"/>
      <c r="E30" s="934"/>
      <c r="F30" s="933"/>
      <c r="G30" s="933"/>
      <c r="H30" s="933"/>
      <c r="I30" s="934"/>
      <c r="J30" s="934"/>
      <c r="K30" s="933"/>
      <c r="L30" s="933"/>
      <c r="M30" s="933"/>
      <c r="N30" s="933">
        <f t="shared" ref="N30:O30" si="9">SUM(N25:N29)</f>
        <v>337743.58</v>
      </c>
      <c r="O30" s="933">
        <f t="shared" si="9"/>
        <v>337743.58</v>
      </c>
      <c r="P30" s="981">
        <f t="shared" si="8"/>
        <v>0</v>
      </c>
      <c r="Q30" s="936"/>
      <c r="R30" s="936"/>
      <c r="S30" s="936"/>
      <c r="T30" s="936"/>
      <c r="U30" s="936"/>
    </row>
    <row r="31" ht="30.0" customHeight="1">
      <c r="A31" s="247" t="s">
        <v>812</v>
      </c>
    </row>
    <row r="32">
      <c r="A32" s="109"/>
      <c r="B32" s="109"/>
      <c r="C32" s="109"/>
      <c r="D32" s="109"/>
      <c r="E32" s="109"/>
      <c r="F32" s="109"/>
      <c r="G32" s="109"/>
      <c r="H32" s="109"/>
      <c r="I32" s="109"/>
      <c r="J32" s="109"/>
      <c r="K32" s="109"/>
      <c r="L32" s="109"/>
      <c r="M32" s="109"/>
      <c r="N32" s="109"/>
      <c r="O32" s="109"/>
      <c r="P32" s="109"/>
      <c r="Q32" s="109"/>
      <c r="R32" s="109"/>
      <c r="S32" s="109"/>
      <c r="T32" s="109"/>
      <c r="U32" s="109"/>
    </row>
    <row r="33" ht="18.75" customHeight="1">
      <c r="A33" s="116" t="s">
        <v>813</v>
      </c>
    </row>
    <row r="34" ht="28.5" customHeight="1">
      <c r="A34" s="855" t="s">
        <v>630</v>
      </c>
      <c r="B34" s="857" t="s">
        <v>814</v>
      </c>
      <c r="C34" s="857" t="s">
        <v>815</v>
      </c>
      <c r="D34" s="857" t="s">
        <v>816</v>
      </c>
      <c r="E34" s="857" t="s">
        <v>817</v>
      </c>
      <c r="F34" s="857" t="s">
        <v>818</v>
      </c>
      <c r="G34" s="857" t="s">
        <v>819</v>
      </c>
      <c r="H34" s="857" t="s">
        <v>820</v>
      </c>
      <c r="I34" s="858" t="s">
        <v>821</v>
      </c>
      <c r="J34" s="109"/>
      <c r="K34" s="109"/>
      <c r="L34" s="109"/>
      <c r="M34" s="109"/>
      <c r="N34" s="109"/>
      <c r="O34" s="109"/>
      <c r="P34" s="109"/>
      <c r="Q34" s="109"/>
      <c r="R34" s="109"/>
      <c r="S34" s="109"/>
      <c r="T34" s="109"/>
      <c r="U34" s="109"/>
    </row>
    <row r="35" ht="24.0" customHeight="1">
      <c r="A35" s="860" t="s">
        <v>55</v>
      </c>
      <c r="B35" s="142" t="s">
        <v>822</v>
      </c>
      <c r="C35" s="912">
        <f>'MVP &amp; lab hardware BOM'!W18</f>
        <v>27379</v>
      </c>
      <c r="D35" s="966"/>
      <c r="E35" s="967">
        <f t="shared" ref="E35:E40" si="10">IF(D35="",C35,D35)</f>
        <v>27379</v>
      </c>
      <c r="F35" s="982">
        <v>0.0</v>
      </c>
      <c r="G35" s="967">
        <f t="shared" ref="G35:G40" si="11">SUM(C84:T84)</f>
        <v>27379</v>
      </c>
      <c r="H35" s="967">
        <f t="shared" ref="H35:H40" si="12">G35-C35</f>
        <v>0</v>
      </c>
      <c r="I35" s="975">
        <f t="shared" ref="I35:I40" si="13">MAX(0,E35-G35)</f>
        <v>0</v>
      </c>
      <c r="J35" s="109"/>
      <c r="K35" s="109"/>
      <c r="L35" s="109"/>
      <c r="M35" s="109"/>
      <c r="N35" s="109"/>
      <c r="O35" s="109"/>
      <c r="P35" s="109"/>
      <c r="Q35" s="109"/>
      <c r="R35" s="109"/>
      <c r="S35" s="109"/>
      <c r="T35" s="109"/>
      <c r="U35" s="109"/>
    </row>
    <row r="36" ht="24.0" customHeight="1">
      <c r="A36" s="633" t="s">
        <v>323</v>
      </c>
      <c r="B36" s="924" t="s">
        <v>823</v>
      </c>
      <c r="C36" s="912">
        <f>'MVP &amp; lab hardware BOM'!W24</f>
        <v>1300</v>
      </c>
      <c r="D36" s="977"/>
      <c r="E36" s="967">
        <f t="shared" si="10"/>
        <v>1300</v>
      </c>
      <c r="F36" s="982">
        <v>0.0</v>
      </c>
      <c r="G36" s="967">
        <f t="shared" si="11"/>
        <v>1300</v>
      </c>
      <c r="H36" s="967">
        <f t="shared" si="12"/>
        <v>0</v>
      </c>
      <c r="I36" s="975">
        <f t="shared" si="13"/>
        <v>0</v>
      </c>
      <c r="J36" s="109"/>
      <c r="K36" s="109"/>
      <c r="L36" s="109"/>
      <c r="M36" s="109"/>
      <c r="N36" s="109"/>
      <c r="O36" s="109"/>
      <c r="P36" s="109"/>
      <c r="Q36" s="109"/>
      <c r="R36" s="109"/>
      <c r="S36" s="109"/>
      <c r="T36" s="109"/>
      <c r="U36" s="109"/>
    </row>
    <row r="37" ht="24.0" customHeight="1">
      <c r="A37" s="860" t="s">
        <v>373</v>
      </c>
      <c r="B37" s="142" t="s">
        <v>824</v>
      </c>
      <c r="C37" s="912">
        <f>'MVP &amp; lab hardware BOM'!W40</f>
        <v>9880</v>
      </c>
      <c r="D37" s="977"/>
      <c r="E37" s="967">
        <f t="shared" si="10"/>
        <v>9880</v>
      </c>
      <c r="F37" s="982">
        <v>0.0</v>
      </c>
      <c r="G37" s="967">
        <f t="shared" si="11"/>
        <v>9880</v>
      </c>
      <c r="H37" s="967">
        <f t="shared" si="12"/>
        <v>0</v>
      </c>
      <c r="I37" s="975">
        <f t="shared" si="13"/>
        <v>0</v>
      </c>
      <c r="J37" s="109"/>
      <c r="K37" s="109"/>
      <c r="L37" s="109"/>
      <c r="M37" s="109"/>
      <c r="N37" s="109"/>
      <c r="O37" s="109"/>
      <c r="P37" s="109"/>
      <c r="Q37" s="109"/>
      <c r="R37" s="109"/>
      <c r="S37" s="109"/>
      <c r="T37" s="109"/>
      <c r="U37" s="109"/>
    </row>
    <row r="38" ht="24.0" customHeight="1">
      <c r="A38" s="633" t="s">
        <v>471</v>
      </c>
      <c r="B38" s="924" t="s">
        <v>825</v>
      </c>
      <c r="C38" s="912">
        <f>'MVP &amp; lab hardware BOM'!W53</f>
        <v>11538</v>
      </c>
      <c r="D38" s="977"/>
      <c r="E38" s="967">
        <f t="shared" si="10"/>
        <v>11538</v>
      </c>
      <c r="F38" s="982">
        <v>0.0</v>
      </c>
      <c r="G38" s="967">
        <f t="shared" si="11"/>
        <v>11538</v>
      </c>
      <c r="H38" s="967">
        <f t="shared" si="12"/>
        <v>0</v>
      </c>
      <c r="I38" s="975">
        <f t="shared" si="13"/>
        <v>0</v>
      </c>
      <c r="J38" s="109"/>
      <c r="K38" s="109"/>
      <c r="L38" s="109"/>
      <c r="M38" s="109"/>
      <c r="N38" s="109"/>
      <c r="O38" s="109"/>
      <c r="P38" s="109"/>
      <c r="Q38" s="109"/>
      <c r="R38" s="109"/>
      <c r="S38" s="109"/>
      <c r="T38" s="109"/>
      <c r="U38" s="109"/>
    </row>
    <row r="39" ht="24.0" customHeight="1">
      <c r="A39" s="860" t="s">
        <v>568</v>
      </c>
      <c r="B39" s="142" t="s">
        <v>826</v>
      </c>
      <c r="C39" s="912">
        <f>'MVP &amp; lab hardware BOM'!W60</f>
        <v>4800</v>
      </c>
      <c r="D39" s="977"/>
      <c r="E39" s="967">
        <f t="shared" si="10"/>
        <v>4800</v>
      </c>
      <c r="F39" s="982">
        <v>0.0</v>
      </c>
      <c r="G39" s="967">
        <f t="shared" si="11"/>
        <v>4800</v>
      </c>
      <c r="H39" s="967">
        <f t="shared" si="12"/>
        <v>0</v>
      </c>
      <c r="I39" s="975">
        <f t="shared" si="13"/>
        <v>0</v>
      </c>
      <c r="J39" s="109"/>
      <c r="K39" s="109"/>
      <c r="L39" s="109"/>
      <c r="M39" s="109"/>
      <c r="N39" s="109"/>
      <c r="O39" s="109"/>
      <c r="P39" s="109"/>
      <c r="Q39" s="109"/>
      <c r="R39" s="109"/>
      <c r="S39" s="109"/>
      <c r="T39" s="109"/>
      <c r="U39" s="109"/>
    </row>
    <row r="40" ht="24.0" customHeight="1">
      <c r="A40" s="633" t="s">
        <v>617</v>
      </c>
      <c r="B40" s="924" t="s">
        <v>827</v>
      </c>
      <c r="C40" s="912">
        <f>'MVP &amp; lab hardware BOM'!W68</f>
        <v>27000</v>
      </c>
      <c r="D40" s="977"/>
      <c r="E40" s="967">
        <f t="shared" si="10"/>
        <v>27000</v>
      </c>
      <c r="F40" s="982">
        <v>0.0</v>
      </c>
      <c r="G40" s="967">
        <f t="shared" si="11"/>
        <v>27000</v>
      </c>
      <c r="H40" s="967">
        <f t="shared" si="12"/>
        <v>0</v>
      </c>
      <c r="I40" s="975">
        <f t="shared" si="13"/>
        <v>0</v>
      </c>
      <c r="J40" s="109"/>
      <c r="K40" s="109"/>
      <c r="L40" s="109"/>
      <c r="M40" s="109"/>
      <c r="N40" s="109"/>
      <c r="O40" s="109"/>
      <c r="P40" s="109"/>
      <c r="Q40" s="109"/>
      <c r="R40" s="109"/>
      <c r="S40" s="109"/>
      <c r="T40" s="109"/>
      <c r="U40" s="109"/>
    </row>
    <row r="41" ht="25.5" customHeight="1">
      <c r="A41" s="929" t="s">
        <v>828</v>
      </c>
      <c r="B41" s="934"/>
      <c r="C41" s="933">
        <f>SUM(C35:C40)</f>
        <v>81897</v>
      </c>
      <c r="D41" s="933"/>
      <c r="E41" s="933">
        <f>SUM(E35:E40)</f>
        <v>81897</v>
      </c>
      <c r="F41" s="934"/>
      <c r="G41" s="933">
        <f t="shared" ref="G41:I41" si="14">SUM(G35:G40)</f>
        <v>81897</v>
      </c>
      <c r="H41" s="933">
        <f t="shared" si="14"/>
        <v>0</v>
      </c>
      <c r="I41" s="981">
        <f t="shared" si="14"/>
        <v>0</v>
      </c>
      <c r="J41" s="936"/>
      <c r="K41" s="936"/>
      <c r="L41" s="936"/>
      <c r="M41" s="936"/>
      <c r="N41" s="936"/>
      <c r="O41" s="936"/>
      <c r="P41" s="936"/>
      <c r="Q41" s="936"/>
      <c r="R41" s="936"/>
      <c r="S41" s="936"/>
      <c r="T41" s="936"/>
      <c r="U41" s="936"/>
    </row>
    <row r="42" ht="30.0" customHeight="1">
      <c r="A42" s="247" t="s">
        <v>829</v>
      </c>
    </row>
    <row r="43">
      <c r="A43" s="109"/>
      <c r="B43" s="109"/>
      <c r="C43" s="109"/>
      <c r="D43" s="109"/>
      <c r="E43" s="109"/>
      <c r="F43" s="109"/>
      <c r="G43" s="109"/>
      <c r="H43" s="109"/>
      <c r="I43" s="109"/>
      <c r="J43" s="109"/>
      <c r="K43" s="109"/>
      <c r="L43" s="109"/>
      <c r="M43" s="109"/>
      <c r="N43" s="109"/>
      <c r="O43" s="109"/>
      <c r="P43" s="109"/>
      <c r="Q43" s="109"/>
      <c r="R43" s="109"/>
      <c r="S43" s="109"/>
      <c r="T43" s="109"/>
      <c r="U43" s="109"/>
    </row>
    <row r="44" ht="18.75" customHeight="1">
      <c r="A44" s="116" t="s">
        <v>830</v>
      </c>
    </row>
    <row r="45" ht="25.5" customHeight="1">
      <c r="A45" s="855" t="s">
        <v>831</v>
      </c>
      <c r="B45" s="857" t="s">
        <v>832</v>
      </c>
      <c r="C45" s="857" t="s">
        <v>833</v>
      </c>
      <c r="D45" s="857" t="s">
        <v>834</v>
      </c>
      <c r="E45" s="857" t="s">
        <v>835</v>
      </c>
      <c r="F45" s="858" t="s">
        <v>836</v>
      </c>
      <c r="G45" s="109"/>
      <c r="H45" s="109"/>
      <c r="I45" s="109"/>
      <c r="J45" s="109"/>
      <c r="K45" s="109"/>
      <c r="L45" s="109"/>
      <c r="M45" s="109"/>
      <c r="N45" s="109"/>
      <c r="O45" s="109"/>
      <c r="P45" s="109"/>
      <c r="Q45" s="109"/>
      <c r="R45" s="109"/>
      <c r="S45" s="109"/>
      <c r="T45" s="109"/>
      <c r="U45" s="109"/>
    </row>
    <row r="46" ht="28.5" customHeight="1">
      <c r="A46" s="860" t="s">
        <v>837</v>
      </c>
      <c r="B46" s="915" t="s">
        <v>35</v>
      </c>
      <c r="C46" s="983">
        <v>0.0</v>
      </c>
      <c r="D46" s="966">
        <v>0.0</v>
      </c>
      <c r="E46" s="967">
        <f t="shared" ref="E46:E48" si="15">IF(D46="",C46,D46)</f>
        <v>0</v>
      </c>
      <c r="F46" s="869" t="s">
        <v>838</v>
      </c>
      <c r="G46" s="109"/>
      <c r="H46" s="109"/>
      <c r="I46" s="109"/>
      <c r="J46" s="109"/>
      <c r="K46" s="109"/>
      <c r="L46" s="109"/>
      <c r="M46" s="109"/>
      <c r="N46" s="109"/>
      <c r="O46" s="109"/>
      <c r="P46" s="109"/>
      <c r="Q46" s="109"/>
      <c r="R46" s="109"/>
      <c r="S46" s="109"/>
      <c r="T46" s="109"/>
      <c r="U46" s="109"/>
    </row>
    <row r="47" ht="28.5" customHeight="1">
      <c r="A47" s="633" t="s">
        <v>839</v>
      </c>
      <c r="B47" s="924" t="s">
        <v>8</v>
      </c>
      <c r="C47" s="912">
        <f>'HQ &amp; lab est.'!D20</f>
        <v>250</v>
      </c>
      <c r="D47" s="977"/>
      <c r="E47" s="967">
        <f t="shared" si="15"/>
        <v>250</v>
      </c>
      <c r="F47" s="639" t="s">
        <v>840</v>
      </c>
      <c r="G47" s="109"/>
      <c r="H47" s="109"/>
      <c r="I47" s="109"/>
      <c r="J47" s="109"/>
      <c r="K47" s="109"/>
      <c r="L47" s="109"/>
      <c r="M47" s="109"/>
      <c r="N47" s="109"/>
      <c r="O47" s="109"/>
      <c r="P47" s="109"/>
      <c r="Q47" s="109"/>
      <c r="R47" s="109"/>
      <c r="S47" s="109"/>
      <c r="T47" s="109"/>
      <c r="U47" s="109"/>
    </row>
    <row r="48" ht="28.5" customHeight="1">
      <c r="A48" s="984" t="s">
        <v>841</v>
      </c>
      <c r="B48" s="985" t="s">
        <v>8</v>
      </c>
      <c r="C48" s="986">
        <f>'Other expenses'!E10/2</f>
        <v>200</v>
      </c>
      <c r="D48" s="987"/>
      <c r="E48" s="988">
        <f t="shared" si="15"/>
        <v>200</v>
      </c>
      <c r="F48" s="989" t="s">
        <v>842</v>
      </c>
      <c r="G48" s="109"/>
      <c r="H48" s="109"/>
      <c r="I48" s="109"/>
      <c r="J48" s="109"/>
      <c r="K48" s="109"/>
      <c r="L48" s="109"/>
      <c r="M48" s="109"/>
      <c r="N48" s="109"/>
      <c r="O48" s="109"/>
      <c r="P48" s="109"/>
      <c r="Q48" s="109"/>
      <c r="R48" s="109"/>
      <c r="S48" s="109"/>
      <c r="T48" s="109"/>
      <c r="U48" s="109"/>
    </row>
    <row r="49">
      <c r="A49" s="109"/>
      <c r="B49" s="109"/>
      <c r="C49" s="109"/>
      <c r="D49" s="109"/>
      <c r="E49" s="109"/>
      <c r="F49" s="109"/>
      <c r="G49" s="109"/>
      <c r="H49" s="109"/>
      <c r="I49" s="109"/>
      <c r="J49" s="109"/>
      <c r="K49" s="109"/>
      <c r="L49" s="109"/>
      <c r="M49" s="109"/>
      <c r="N49" s="109"/>
      <c r="O49" s="109"/>
      <c r="P49" s="109"/>
      <c r="Q49" s="109"/>
      <c r="R49" s="109"/>
      <c r="S49" s="109"/>
      <c r="T49" s="109"/>
      <c r="U49" s="109"/>
    </row>
    <row r="50" ht="18.75" customHeight="1">
      <c r="A50" s="116" t="s">
        <v>843</v>
      </c>
    </row>
    <row r="51" ht="24.0" customHeight="1">
      <c r="A51" s="855" t="s">
        <v>844</v>
      </c>
      <c r="B51" s="857" t="s">
        <v>751</v>
      </c>
      <c r="C51" s="857" t="s">
        <v>20</v>
      </c>
      <c r="D51" s="857" t="s">
        <v>21</v>
      </c>
      <c r="E51" s="857" t="s">
        <v>22</v>
      </c>
      <c r="F51" s="857" t="s">
        <v>23</v>
      </c>
      <c r="G51" s="857" t="s">
        <v>24</v>
      </c>
      <c r="H51" s="857" t="s">
        <v>25</v>
      </c>
      <c r="I51" s="857" t="s">
        <v>27</v>
      </c>
      <c r="J51" s="857" t="s">
        <v>28</v>
      </c>
      <c r="K51" s="857" t="s">
        <v>29</v>
      </c>
      <c r="L51" s="857" t="s">
        <v>30</v>
      </c>
      <c r="M51" s="857" t="s">
        <v>32</v>
      </c>
      <c r="N51" s="857" t="s">
        <v>33</v>
      </c>
      <c r="O51" s="857" t="s">
        <v>35</v>
      </c>
      <c r="P51" s="857" t="s">
        <v>36</v>
      </c>
      <c r="Q51" s="857" t="s">
        <v>37</v>
      </c>
      <c r="R51" s="857" t="s">
        <v>38</v>
      </c>
      <c r="S51" s="857" t="s">
        <v>39</v>
      </c>
      <c r="T51" s="857" t="s">
        <v>40</v>
      </c>
      <c r="U51" s="858" t="s">
        <v>845</v>
      </c>
    </row>
    <row r="52">
      <c r="A52" s="620" t="s">
        <v>846</v>
      </c>
      <c r="B52" s="990">
        <f t="shared" ref="B52:T52" si="16">IF(B$51=$D$18,$C$18,0)</f>
        <v>186000</v>
      </c>
      <c r="C52" s="990">
        <f t="shared" si="16"/>
        <v>0</v>
      </c>
      <c r="D52" s="990">
        <f t="shared" si="16"/>
        <v>0</v>
      </c>
      <c r="E52" s="990">
        <f t="shared" si="16"/>
        <v>0</v>
      </c>
      <c r="F52" s="990">
        <f t="shared" si="16"/>
        <v>0</v>
      </c>
      <c r="G52" s="990">
        <f t="shared" si="16"/>
        <v>0</v>
      </c>
      <c r="H52" s="990">
        <f t="shared" si="16"/>
        <v>0</v>
      </c>
      <c r="I52" s="990">
        <f t="shared" si="16"/>
        <v>0</v>
      </c>
      <c r="J52" s="990">
        <f t="shared" si="16"/>
        <v>0</v>
      </c>
      <c r="K52" s="990">
        <f t="shared" si="16"/>
        <v>0</v>
      </c>
      <c r="L52" s="990">
        <f t="shared" si="16"/>
        <v>0</v>
      </c>
      <c r="M52" s="990">
        <f t="shared" si="16"/>
        <v>0</v>
      </c>
      <c r="N52" s="990">
        <f t="shared" si="16"/>
        <v>0</v>
      </c>
      <c r="O52" s="990">
        <f t="shared" si="16"/>
        <v>0</v>
      </c>
      <c r="P52" s="990">
        <f t="shared" si="16"/>
        <v>0</v>
      </c>
      <c r="Q52" s="990">
        <f t="shared" si="16"/>
        <v>0</v>
      </c>
      <c r="R52" s="990">
        <f t="shared" si="16"/>
        <v>0</v>
      </c>
      <c r="S52" s="990">
        <f t="shared" si="16"/>
        <v>0</v>
      </c>
      <c r="T52" s="990">
        <f t="shared" si="16"/>
        <v>0</v>
      </c>
      <c r="U52" s="991">
        <f t="shared" ref="U52:U55" si="18">SUM(B52:T52)</f>
        <v>186000</v>
      </c>
    </row>
    <row r="53">
      <c r="A53" s="633" t="s">
        <v>847</v>
      </c>
      <c r="B53" s="992">
        <f t="shared" ref="B53:T53" si="17">IF(B$51=$D$19,$C$19,0)</f>
        <v>0</v>
      </c>
      <c r="C53" s="992">
        <f t="shared" si="17"/>
        <v>0</v>
      </c>
      <c r="D53" s="992">
        <f t="shared" si="17"/>
        <v>0</v>
      </c>
      <c r="E53" s="992">
        <f t="shared" si="17"/>
        <v>232500</v>
      </c>
      <c r="F53" s="992">
        <f t="shared" si="17"/>
        <v>0</v>
      </c>
      <c r="G53" s="992">
        <f t="shared" si="17"/>
        <v>0</v>
      </c>
      <c r="H53" s="992">
        <f t="shared" si="17"/>
        <v>0</v>
      </c>
      <c r="I53" s="992">
        <f t="shared" si="17"/>
        <v>0</v>
      </c>
      <c r="J53" s="992">
        <f t="shared" si="17"/>
        <v>0</v>
      </c>
      <c r="K53" s="992">
        <f t="shared" si="17"/>
        <v>0</v>
      </c>
      <c r="L53" s="992">
        <f t="shared" si="17"/>
        <v>0</v>
      </c>
      <c r="M53" s="992">
        <f t="shared" si="17"/>
        <v>0</v>
      </c>
      <c r="N53" s="992">
        <f t="shared" si="17"/>
        <v>0</v>
      </c>
      <c r="O53" s="992">
        <f t="shared" si="17"/>
        <v>0</v>
      </c>
      <c r="P53" s="992">
        <f t="shared" si="17"/>
        <v>0</v>
      </c>
      <c r="Q53" s="992">
        <f t="shared" si="17"/>
        <v>0</v>
      </c>
      <c r="R53" s="992">
        <f t="shared" si="17"/>
        <v>0</v>
      </c>
      <c r="S53" s="992">
        <f t="shared" si="17"/>
        <v>0</v>
      </c>
      <c r="T53" s="992">
        <f t="shared" si="17"/>
        <v>0</v>
      </c>
      <c r="U53" s="993">
        <f t="shared" si="18"/>
        <v>232500</v>
      </c>
    </row>
    <row r="54">
      <c r="A54" s="620" t="s">
        <v>848</v>
      </c>
      <c r="B54" s="990">
        <f t="shared" ref="B54:T54" si="19">IF(B$51=$D$20,$C$20,0)</f>
        <v>0</v>
      </c>
      <c r="C54" s="990">
        <f t="shared" si="19"/>
        <v>0</v>
      </c>
      <c r="D54" s="990">
        <f t="shared" si="19"/>
        <v>0</v>
      </c>
      <c r="E54" s="990">
        <f t="shared" si="19"/>
        <v>0</v>
      </c>
      <c r="F54" s="990">
        <f t="shared" si="19"/>
        <v>0</v>
      </c>
      <c r="G54" s="990">
        <f t="shared" si="19"/>
        <v>0</v>
      </c>
      <c r="H54" s="990">
        <f t="shared" si="19"/>
        <v>279000</v>
      </c>
      <c r="I54" s="990">
        <f t="shared" si="19"/>
        <v>0</v>
      </c>
      <c r="J54" s="990">
        <f t="shared" si="19"/>
        <v>0</v>
      </c>
      <c r="K54" s="990">
        <f t="shared" si="19"/>
        <v>0</v>
      </c>
      <c r="L54" s="990">
        <f t="shared" si="19"/>
        <v>0</v>
      </c>
      <c r="M54" s="990">
        <f t="shared" si="19"/>
        <v>0</v>
      </c>
      <c r="N54" s="990">
        <f t="shared" si="19"/>
        <v>0</v>
      </c>
      <c r="O54" s="990">
        <f t="shared" si="19"/>
        <v>0</v>
      </c>
      <c r="P54" s="990">
        <f t="shared" si="19"/>
        <v>0</v>
      </c>
      <c r="Q54" s="990">
        <f t="shared" si="19"/>
        <v>0</v>
      </c>
      <c r="R54" s="990">
        <f t="shared" si="19"/>
        <v>0</v>
      </c>
      <c r="S54" s="990">
        <f t="shared" si="19"/>
        <v>0</v>
      </c>
      <c r="T54" s="990">
        <f t="shared" si="19"/>
        <v>0</v>
      </c>
      <c r="U54" s="991">
        <f t="shared" si="18"/>
        <v>279000</v>
      </c>
    </row>
    <row r="55">
      <c r="A55" s="929" t="s">
        <v>849</v>
      </c>
      <c r="B55" s="933">
        <f t="shared" ref="B55:T55" si="20">SUM(B52:B54)</f>
        <v>186000</v>
      </c>
      <c r="C55" s="933">
        <f t="shared" si="20"/>
        <v>0</v>
      </c>
      <c r="D55" s="933">
        <f t="shared" si="20"/>
        <v>0</v>
      </c>
      <c r="E55" s="933">
        <f t="shared" si="20"/>
        <v>232500</v>
      </c>
      <c r="F55" s="933">
        <f t="shared" si="20"/>
        <v>0</v>
      </c>
      <c r="G55" s="933">
        <f t="shared" si="20"/>
        <v>0</v>
      </c>
      <c r="H55" s="933">
        <f t="shared" si="20"/>
        <v>279000</v>
      </c>
      <c r="I55" s="933">
        <f t="shared" si="20"/>
        <v>0</v>
      </c>
      <c r="J55" s="933">
        <f t="shared" si="20"/>
        <v>0</v>
      </c>
      <c r="K55" s="933">
        <f t="shared" si="20"/>
        <v>0</v>
      </c>
      <c r="L55" s="933">
        <f t="shared" si="20"/>
        <v>0</v>
      </c>
      <c r="M55" s="933">
        <f t="shared" si="20"/>
        <v>0</v>
      </c>
      <c r="N55" s="933">
        <f t="shared" si="20"/>
        <v>0</v>
      </c>
      <c r="O55" s="933">
        <f t="shared" si="20"/>
        <v>0</v>
      </c>
      <c r="P55" s="933">
        <f t="shared" si="20"/>
        <v>0</v>
      </c>
      <c r="Q55" s="933">
        <f t="shared" si="20"/>
        <v>0</v>
      </c>
      <c r="R55" s="933">
        <f t="shared" si="20"/>
        <v>0</v>
      </c>
      <c r="S55" s="933">
        <f t="shared" si="20"/>
        <v>0</v>
      </c>
      <c r="T55" s="933">
        <f t="shared" si="20"/>
        <v>0</v>
      </c>
      <c r="U55" s="981">
        <f t="shared" si="18"/>
        <v>697500</v>
      </c>
    </row>
    <row r="56">
      <c r="A56" s="109"/>
      <c r="B56" s="994"/>
      <c r="C56" s="994"/>
      <c r="D56" s="994"/>
      <c r="E56" s="994"/>
      <c r="F56" s="994"/>
      <c r="G56" s="994"/>
      <c r="H56" s="994"/>
      <c r="I56" s="994"/>
      <c r="J56" s="994"/>
      <c r="K56" s="994"/>
      <c r="L56" s="994"/>
      <c r="M56" s="994"/>
      <c r="N56" s="994"/>
      <c r="O56" s="994"/>
      <c r="P56" s="994"/>
      <c r="Q56" s="994"/>
      <c r="R56" s="994"/>
      <c r="S56" s="994"/>
      <c r="T56" s="994"/>
      <c r="U56" s="994"/>
    </row>
    <row r="57" ht="18.0" customHeight="1">
      <c r="A57" s="995" t="s">
        <v>850</v>
      </c>
      <c r="B57" s="996"/>
      <c r="C57" s="996"/>
      <c r="D57" s="996"/>
      <c r="E57" s="996"/>
      <c r="F57" s="996"/>
      <c r="G57" s="996"/>
      <c r="H57" s="996"/>
      <c r="I57" s="996"/>
      <c r="J57" s="996"/>
      <c r="K57" s="996"/>
      <c r="L57" s="996"/>
      <c r="M57" s="996"/>
      <c r="N57" s="996"/>
      <c r="O57" s="996"/>
      <c r="P57" s="996"/>
      <c r="Q57" s="996"/>
      <c r="R57" s="996"/>
      <c r="S57" s="996"/>
      <c r="T57" s="996"/>
      <c r="U57" s="997"/>
    </row>
    <row r="58">
      <c r="A58" s="620" t="s">
        <v>851</v>
      </c>
      <c r="B58" s="998">
        <v>0.0</v>
      </c>
      <c r="C58" s="990">
        <f>'Hiring &amp; Compensation Plan'!E27</f>
        <v>3361.04</v>
      </c>
      <c r="D58" s="990">
        <f>'Hiring &amp; Compensation Plan'!F27</f>
        <v>11864.6</v>
      </c>
      <c r="E58" s="990">
        <f>'Hiring &amp; Compensation Plan'!G27</f>
        <v>9614.6</v>
      </c>
      <c r="F58" s="990">
        <f>'Hiring &amp; Compensation Plan'!H27</f>
        <v>15694.16</v>
      </c>
      <c r="G58" s="990">
        <f>'Hiring &amp; Compensation Plan'!I27</f>
        <v>16805.2</v>
      </c>
      <c r="H58" s="990">
        <f>'Hiring &amp; Compensation Plan'!J27</f>
        <v>22416.24</v>
      </c>
      <c r="I58" s="990">
        <f>'Hiring &amp; Compensation Plan'!K27</f>
        <v>20166.24</v>
      </c>
      <c r="J58" s="990">
        <f>'Hiring &amp; Compensation Plan'!L27</f>
        <v>21006.5</v>
      </c>
      <c r="K58" s="990">
        <f>'Hiring &amp; Compensation Plan'!M27</f>
        <v>23256.5</v>
      </c>
      <c r="L58" s="990">
        <f>'Hiring &amp; Compensation Plan'!N27</f>
        <v>21006.5</v>
      </c>
      <c r="M58" s="990">
        <f>'Hiring &amp; Compensation Plan'!O27</f>
        <v>21006.5</v>
      </c>
      <c r="N58" s="990">
        <f>'Hiring &amp; Compensation Plan'!P27</f>
        <v>21006.5</v>
      </c>
      <c r="O58" s="990">
        <f>'Hiring &amp; Compensation Plan'!Q27</f>
        <v>23256.5</v>
      </c>
      <c r="P58" s="990">
        <f>'Hiring &amp; Compensation Plan'!R27</f>
        <v>21006.5</v>
      </c>
      <c r="Q58" s="990">
        <f>'Hiring &amp; Compensation Plan'!S27</f>
        <v>21006.5</v>
      </c>
      <c r="R58" s="990">
        <f>'Hiring &amp; Compensation Plan'!T27</f>
        <v>21006.5</v>
      </c>
      <c r="S58" s="990">
        <f>'Hiring &amp; Compensation Plan'!U27</f>
        <v>23256.5</v>
      </c>
      <c r="T58" s="990">
        <f>'Hiring &amp; Compensation Plan'!V27</f>
        <v>21006.5</v>
      </c>
      <c r="U58" s="991">
        <f t="shared" ref="U58:U62" si="21">SUM(B58:T58)</f>
        <v>337743.58</v>
      </c>
    </row>
    <row r="59">
      <c r="A59" s="633" t="s">
        <v>852</v>
      </c>
      <c r="B59" s="999">
        <v>0.0</v>
      </c>
      <c r="C59" s="992">
        <f>'MVP &amp; lab hardware BOM'!D70</f>
        <v>37566.58</v>
      </c>
      <c r="D59" s="992">
        <f>'MVP &amp; lab hardware BOM'!E70</f>
        <v>404.04</v>
      </c>
      <c r="E59" s="992">
        <f>'MVP &amp; lab hardware BOM'!F70</f>
        <v>448.54</v>
      </c>
      <c r="F59" s="992">
        <f>'MVP &amp; lab hardware BOM'!G70</f>
        <v>8262.17</v>
      </c>
      <c r="G59" s="992">
        <f>'MVP &amp; lab hardware BOM'!H70</f>
        <v>828.45</v>
      </c>
      <c r="H59" s="992">
        <f>'MVP &amp; lab hardware BOM'!I70</f>
        <v>981.57</v>
      </c>
      <c r="I59" s="992">
        <f>'MVP &amp; lab hardware BOM'!J70</f>
        <v>1061.04</v>
      </c>
      <c r="J59" s="992">
        <f>'MVP &amp; lab hardware BOM'!K70</f>
        <v>3820.43</v>
      </c>
      <c r="K59" s="992">
        <f>'MVP &amp; lab hardware BOM'!L70</f>
        <v>1195.43</v>
      </c>
      <c r="L59" s="992">
        <f>'MVP &amp; lab hardware BOM'!M70</f>
        <v>1300.7</v>
      </c>
      <c r="M59" s="992">
        <f>'MVP &amp; lab hardware BOM'!N70</f>
        <v>3925.7</v>
      </c>
      <c r="N59" s="992">
        <f>'MVP &amp; lab hardware BOM'!O70</f>
        <v>1670.17</v>
      </c>
      <c r="O59" s="992">
        <f>'MVP &amp; lab hardware BOM'!P70</f>
        <v>7692.06</v>
      </c>
      <c r="P59" s="992">
        <f>'MVP &amp; lab hardware BOM'!Q70</f>
        <v>4078.82</v>
      </c>
      <c r="Q59" s="992">
        <f>'MVP &amp; lab hardware BOM'!R70</f>
        <v>1453.82</v>
      </c>
      <c r="R59" s="992">
        <f>'MVP &amp; lab hardware BOM'!S70</f>
        <v>1527.46</v>
      </c>
      <c r="S59" s="992">
        <f>'MVP &amp; lab hardware BOM'!T70</f>
        <v>4152.46</v>
      </c>
      <c r="T59" s="992">
        <f>'MVP &amp; lab hardware BOM'!U70</f>
        <v>1527.56</v>
      </c>
      <c r="U59" s="993">
        <f t="shared" si="21"/>
        <v>81897</v>
      </c>
    </row>
    <row r="60">
      <c r="A60" s="620" t="s">
        <v>853</v>
      </c>
      <c r="B60" s="998">
        <v>0.0</v>
      </c>
      <c r="C60" s="990">
        <f>'HQ &amp; lab est.'!D31</f>
        <v>26457.5</v>
      </c>
      <c r="D60" s="990">
        <f>'HQ &amp; lab est.'!E31</f>
        <v>6982.5</v>
      </c>
      <c r="E60" s="990">
        <f>'HQ &amp; lab est.'!F31</f>
        <v>6982.5</v>
      </c>
      <c r="F60" s="990">
        <f>'HQ &amp; lab est.'!G31</f>
        <v>6982.5</v>
      </c>
      <c r="G60" s="990">
        <f>'HQ &amp; lab est.'!H31</f>
        <v>7245</v>
      </c>
      <c r="H60" s="990">
        <f>'HQ &amp; lab est.'!I31</f>
        <v>7245</v>
      </c>
      <c r="I60" s="990">
        <f>'HQ &amp; lab est.'!J31</f>
        <v>7245</v>
      </c>
      <c r="J60" s="990">
        <f>'HQ &amp; lab est.'!K31</f>
        <v>7245</v>
      </c>
      <c r="K60" s="990">
        <f>'HQ &amp; lab est.'!L31</f>
        <v>7245</v>
      </c>
      <c r="L60" s="990">
        <f>'HQ &amp; lab est.'!M31</f>
        <v>7245</v>
      </c>
      <c r="M60" s="990">
        <f>'HQ &amp; lab est.'!N31</f>
        <v>7245</v>
      </c>
      <c r="N60" s="990">
        <f>'HQ &amp; lab est.'!O31</f>
        <v>7245</v>
      </c>
      <c r="O60" s="990">
        <f>'HQ &amp; lab est.'!P31</f>
        <v>7245</v>
      </c>
      <c r="P60" s="990">
        <f>'HQ &amp; lab est.'!Q31</f>
        <v>7245</v>
      </c>
      <c r="Q60" s="990">
        <f>'HQ &amp; lab est.'!R31</f>
        <v>7245</v>
      </c>
      <c r="R60" s="990">
        <f>'HQ &amp; lab est.'!S31</f>
        <v>7245</v>
      </c>
      <c r="S60" s="990">
        <f>'HQ &amp; lab est.'!T31</f>
        <v>7245</v>
      </c>
      <c r="T60" s="990">
        <f>'HQ &amp; lab est.'!U31</f>
        <v>7245</v>
      </c>
      <c r="U60" s="991">
        <f t="shared" si="21"/>
        <v>148835</v>
      </c>
    </row>
    <row r="61">
      <c r="A61" s="633" t="s">
        <v>854</v>
      </c>
      <c r="B61" s="999">
        <v>0.0</v>
      </c>
      <c r="C61" s="992">
        <f>'Other expenses'!D35</f>
        <v>2850</v>
      </c>
      <c r="D61" s="992">
        <f>'Other expenses'!E35</f>
        <v>4590</v>
      </c>
      <c r="E61" s="992">
        <f>'Other expenses'!F35</f>
        <v>1510</v>
      </c>
      <c r="F61" s="992">
        <f>'Other expenses'!G35</f>
        <v>2610</v>
      </c>
      <c r="G61" s="992">
        <f>'Other expenses'!H35</f>
        <v>1730</v>
      </c>
      <c r="H61" s="992">
        <f>'Other expenses'!I35</f>
        <v>9980</v>
      </c>
      <c r="I61" s="992">
        <f>'Other expenses'!J35</f>
        <v>1730</v>
      </c>
      <c r="J61" s="992">
        <f>'Other expenses'!K35</f>
        <v>3930</v>
      </c>
      <c r="K61" s="992">
        <f>'Other expenses'!L35</f>
        <v>10530</v>
      </c>
      <c r="L61" s="992">
        <f>'Other expenses'!M35</f>
        <v>5030</v>
      </c>
      <c r="M61" s="992">
        <f>'Other expenses'!N35</f>
        <v>8880</v>
      </c>
      <c r="N61" s="992">
        <f>'Other expenses'!O35</f>
        <v>1730</v>
      </c>
      <c r="O61" s="992">
        <f>'Other expenses'!P35</f>
        <v>3730</v>
      </c>
      <c r="P61" s="992">
        <f>'Other expenses'!Q35</f>
        <v>5030</v>
      </c>
      <c r="Q61" s="992">
        <f>'Other expenses'!R35</f>
        <v>10530</v>
      </c>
      <c r="R61" s="992">
        <f>'Other expenses'!S35</f>
        <v>7230</v>
      </c>
      <c r="S61" s="992">
        <f>'Other expenses'!T35</f>
        <v>1730</v>
      </c>
      <c r="T61" s="992">
        <f>'Other expenses'!U35</f>
        <v>1730</v>
      </c>
      <c r="U61" s="993">
        <f t="shared" si="21"/>
        <v>85080</v>
      </c>
    </row>
    <row r="62">
      <c r="A62" s="929" t="s">
        <v>855</v>
      </c>
      <c r="B62" s="1000">
        <v>0.0</v>
      </c>
      <c r="C62" s="933">
        <f t="shared" ref="C62:T62" si="22">SUM(C58:C61)</f>
        <v>70235.12</v>
      </c>
      <c r="D62" s="933">
        <f t="shared" si="22"/>
        <v>23841.14</v>
      </c>
      <c r="E62" s="933">
        <f t="shared" si="22"/>
        <v>18555.64</v>
      </c>
      <c r="F62" s="933">
        <f t="shared" si="22"/>
        <v>33548.83</v>
      </c>
      <c r="G62" s="933">
        <f t="shared" si="22"/>
        <v>26608.65</v>
      </c>
      <c r="H62" s="933">
        <f t="shared" si="22"/>
        <v>40622.81</v>
      </c>
      <c r="I62" s="933">
        <f t="shared" si="22"/>
        <v>30202.28</v>
      </c>
      <c r="J62" s="933">
        <f t="shared" si="22"/>
        <v>36001.93</v>
      </c>
      <c r="K62" s="933">
        <f t="shared" si="22"/>
        <v>42226.93</v>
      </c>
      <c r="L62" s="933">
        <f t="shared" si="22"/>
        <v>34582.2</v>
      </c>
      <c r="M62" s="933">
        <f t="shared" si="22"/>
        <v>41057.2</v>
      </c>
      <c r="N62" s="933">
        <f t="shared" si="22"/>
        <v>31651.67</v>
      </c>
      <c r="O62" s="933">
        <f t="shared" si="22"/>
        <v>41923.56</v>
      </c>
      <c r="P62" s="933">
        <f t="shared" si="22"/>
        <v>37360.32</v>
      </c>
      <c r="Q62" s="933">
        <f t="shared" si="22"/>
        <v>40235.32</v>
      </c>
      <c r="R62" s="933">
        <f t="shared" si="22"/>
        <v>37008.96</v>
      </c>
      <c r="S62" s="933">
        <f t="shared" si="22"/>
        <v>36383.96</v>
      </c>
      <c r="T62" s="933">
        <f t="shared" si="22"/>
        <v>31509.06</v>
      </c>
      <c r="U62" s="981">
        <f t="shared" si="21"/>
        <v>653555.58</v>
      </c>
    </row>
    <row r="63">
      <c r="A63" s="109"/>
      <c r="B63" s="994"/>
      <c r="C63" s="994"/>
      <c r="D63" s="994"/>
      <c r="E63" s="994"/>
      <c r="F63" s="994"/>
      <c r="G63" s="994"/>
      <c r="H63" s="994"/>
      <c r="I63" s="994"/>
      <c r="J63" s="994"/>
      <c r="K63" s="994"/>
      <c r="L63" s="994"/>
      <c r="M63" s="994"/>
      <c r="N63" s="994"/>
      <c r="O63" s="994"/>
      <c r="P63" s="994"/>
      <c r="Q63" s="994"/>
      <c r="R63" s="994"/>
      <c r="S63" s="994"/>
      <c r="T63" s="994"/>
      <c r="U63" s="994"/>
    </row>
    <row r="64" ht="18.0" customHeight="1">
      <c r="A64" s="995" t="s">
        <v>856</v>
      </c>
      <c r="B64" s="996"/>
      <c r="C64" s="996"/>
      <c r="D64" s="996"/>
      <c r="E64" s="996"/>
      <c r="F64" s="996"/>
      <c r="G64" s="996"/>
      <c r="H64" s="996"/>
      <c r="I64" s="996"/>
      <c r="J64" s="996"/>
      <c r="K64" s="996"/>
      <c r="L64" s="996"/>
      <c r="M64" s="996"/>
      <c r="N64" s="996"/>
      <c r="O64" s="996"/>
      <c r="P64" s="996"/>
      <c r="Q64" s="996"/>
      <c r="R64" s="996"/>
      <c r="S64" s="996"/>
      <c r="T64" s="996"/>
      <c r="U64" s="997"/>
    </row>
    <row r="65">
      <c r="A65" s="620" t="s">
        <v>857</v>
      </c>
      <c r="B65" s="998">
        <v>0.0</v>
      </c>
      <c r="C65" s="990">
        <f t="shared" ref="C65:T65" si="23">C82</f>
        <v>5611.04</v>
      </c>
      <c r="D65" s="990">
        <f t="shared" si="23"/>
        <v>9614.6</v>
      </c>
      <c r="E65" s="990">
        <f t="shared" si="23"/>
        <v>11864.6</v>
      </c>
      <c r="F65" s="990">
        <f t="shared" si="23"/>
        <v>13444.16</v>
      </c>
      <c r="G65" s="990">
        <f t="shared" si="23"/>
        <v>19055.2</v>
      </c>
      <c r="H65" s="990">
        <f t="shared" si="23"/>
        <v>20166.24</v>
      </c>
      <c r="I65" s="990">
        <f t="shared" si="23"/>
        <v>20166.24</v>
      </c>
      <c r="J65" s="990">
        <f t="shared" si="23"/>
        <v>23256.5</v>
      </c>
      <c r="K65" s="990">
        <f t="shared" si="23"/>
        <v>21006.5</v>
      </c>
      <c r="L65" s="990">
        <f t="shared" si="23"/>
        <v>21006.5</v>
      </c>
      <c r="M65" s="990">
        <f t="shared" si="23"/>
        <v>21006.5</v>
      </c>
      <c r="N65" s="990">
        <f t="shared" si="23"/>
        <v>23256.5</v>
      </c>
      <c r="O65" s="990">
        <f t="shared" si="23"/>
        <v>21006.5</v>
      </c>
      <c r="P65" s="990">
        <f t="shared" si="23"/>
        <v>21006.5</v>
      </c>
      <c r="Q65" s="990">
        <f t="shared" si="23"/>
        <v>21006.5</v>
      </c>
      <c r="R65" s="990">
        <f t="shared" si="23"/>
        <v>23256.5</v>
      </c>
      <c r="S65" s="990">
        <f t="shared" si="23"/>
        <v>21006.5</v>
      </c>
      <c r="T65" s="990">
        <f t="shared" si="23"/>
        <v>21006.5</v>
      </c>
      <c r="U65" s="991">
        <f t="shared" ref="U65:U71" si="25">SUM(B65:T65)</f>
        <v>337743.58</v>
      </c>
    </row>
    <row r="66">
      <c r="A66" s="633" t="s">
        <v>858</v>
      </c>
      <c r="B66" s="999">
        <v>0.0</v>
      </c>
      <c r="C66" s="992">
        <f t="shared" ref="C66:T66" si="24">C90</f>
        <v>37566.58</v>
      </c>
      <c r="D66" s="992">
        <f t="shared" si="24"/>
        <v>404.04</v>
      </c>
      <c r="E66" s="992">
        <f t="shared" si="24"/>
        <v>448.54</v>
      </c>
      <c r="F66" s="992">
        <f t="shared" si="24"/>
        <v>8262.17</v>
      </c>
      <c r="G66" s="992">
        <f t="shared" si="24"/>
        <v>828.45</v>
      </c>
      <c r="H66" s="992">
        <f t="shared" si="24"/>
        <v>981.57</v>
      </c>
      <c r="I66" s="992">
        <f t="shared" si="24"/>
        <v>1061.04</v>
      </c>
      <c r="J66" s="992">
        <f t="shared" si="24"/>
        <v>3820.43</v>
      </c>
      <c r="K66" s="992">
        <f t="shared" si="24"/>
        <v>1195.43</v>
      </c>
      <c r="L66" s="992">
        <f t="shared" si="24"/>
        <v>1300.7</v>
      </c>
      <c r="M66" s="992">
        <f t="shared" si="24"/>
        <v>3925.7</v>
      </c>
      <c r="N66" s="992">
        <f t="shared" si="24"/>
        <v>1670.17</v>
      </c>
      <c r="O66" s="992">
        <f t="shared" si="24"/>
        <v>7692.06</v>
      </c>
      <c r="P66" s="992">
        <f t="shared" si="24"/>
        <v>4078.82</v>
      </c>
      <c r="Q66" s="992">
        <f t="shared" si="24"/>
        <v>1453.82</v>
      </c>
      <c r="R66" s="992">
        <f t="shared" si="24"/>
        <v>1527.46</v>
      </c>
      <c r="S66" s="992">
        <f t="shared" si="24"/>
        <v>4152.46</v>
      </c>
      <c r="T66" s="992">
        <f t="shared" si="24"/>
        <v>1527.56</v>
      </c>
      <c r="U66" s="993">
        <f t="shared" si="25"/>
        <v>81897</v>
      </c>
    </row>
    <row r="67">
      <c r="A67" s="620" t="s">
        <v>859</v>
      </c>
      <c r="B67" s="998">
        <v>0.0</v>
      </c>
      <c r="C67" s="990">
        <f>'HQ &amp; lab est.'!D31-'HQ &amp; lab est.'!D20+$E$47*COUNTIF($E$25:$E$28,"&lt;="&amp;VALUE(SUBSTITUTE(C$51,"M","")))</f>
        <v>26457.5</v>
      </c>
      <c r="D67" s="990">
        <f>'HQ &amp; lab est.'!E31-'HQ &amp; lab est.'!E20+$E$47*COUNTIF($E$25:$E$28,"&lt;="&amp;VALUE(SUBSTITUTE(D$51,"M","")))</f>
        <v>6982.5</v>
      </c>
      <c r="E67" s="990">
        <f>'HQ &amp; lab est.'!F31-'HQ &amp; lab est.'!F20+$E$47*COUNTIF($E$25:$E$28,"&lt;="&amp;VALUE(SUBSTITUTE(E$51,"M","")))</f>
        <v>6982.5</v>
      </c>
      <c r="F67" s="990">
        <f>'HQ &amp; lab est.'!G31-'HQ &amp; lab est.'!G20+$E$47*COUNTIF($E$25:$E$28,"&lt;="&amp;VALUE(SUBSTITUTE(F$51,"M","")))</f>
        <v>6982.5</v>
      </c>
      <c r="G67" s="990">
        <f>'HQ &amp; lab est.'!H31-'HQ &amp; lab est.'!H20+$E$47*COUNTIF($E$25:$E$28,"&lt;="&amp;VALUE(SUBSTITUTE(G$51,"M","")))</f>
        <v>7245</v>
      </c>
      <c r="H67" s="990">
        <f>'HQ &amp; lab est.'!I31-'HQ &amp; lab est.'!I20+$E$47*COUNTIF($E$25:$E$28,"&lt;="&amp;VALUE(SUBSTITUTE(H$51,"M","")))</f>
        <v>7245</v>
      </c>
      <c r="I67" s="990">
        <f>'HQ &amp; lab est.'!J31-'HQ &amp; lab est.'!J20+$E$47*COUNTIF($E$25:$E$28,"&lt;="&amp;VALUE(SUBSTITUTE(I$51,"M","")))</f>
        <v>7245</v>
      </c>
      <c r="J67" s="990">
        <f>'HQ &amp; lab est.'!K31-'HQ &amp; lab est.'!K20+$E$47*COUNTIF($E$25:$E$28,"&lt;="&amp;VALUE(SUBSTITUTE(J$51,"M","")))</f>
        <v>7245</v>
      </c>
      <c r="K67" s="990">
        <f>'HQ &amp; lab est.'!L31-'HQ &amp; lab est.'!L20+$E$47*COUNTIF($E$25:$E$28,"&lt;="&amp;VALUE(SUBSTITUTE(K$51,"M","")))</f>
        <v>7245</v>
      </c>
      <c r="L67" s="990">
        <f>'HQ &amp; lab est.'!M31-'HQ &amp; lab est.'!M20+$E$47*COUNTIF($E$25:$E$28,"&lt;="&amp;VALUE(SUBSTITUTE(L$51,"M","")))</f>
        <v>7245</v>
      </c>
      <c r="M67" s="990">
        <f>'HQ &amp; lab est.'!N31-'HQ &amp; lab est.'!N20+$E$47*COUNTIF($E$25:$E$28,"&lt;="&amp;VALUE(SUBSTITUTE(M$51,"M","")))</f>
        <v>7245</v>
      </c>
      <c r="N67" s="990">
        <f>'HQ &amp; lab est.'!O31-'HQ &amp; lab est.'!O20+$E$47*COUNTIF($E$25:$E$28,"&lt;="&amp;VALUE(SUBSTITUTE(N$51,"M","")))</f>
        <v>7245</v>
      </c>
      <c r="O67" s="990">
        <f>'HQ &amp; lab est.'!P31-'HQ &amp; lab est.'!P20+$E$47*COUNTIF($E$25:$E$28,"&lt;="&amp;VALUE(SUBSTITUTE(O$51,"M","")))</f>
        <v>7245</v>
      </c>
      <c r="P67" s="990">
        <f>'HQ &amp; lab est.'!Q31-'HQ &amp; lab est.'!Q20+$E$47*COUNTIF($E$25:$E$28,"&lt;="&amp;VALUE(SUBSTITUTE(P$51,"M","")))</f>
        <v>7245</v>
      </c>
      <c r="Q67" s="990">
        <f>'HQ &amp; lab est.'!R31-'HQ &amp; lab est.'!R20+$E$47*COUNTIF($E$25:$E$28,"&lt;="&amp;VALUE(SUBSTITUTE(Q$51,"M","")))</f>
        <v>7245</v>
      </c>
      <c r="R67" s="990">
        <f>'HQ &amp; lab est.'!S31-'HQ &amp; lab est.'!S20+$E$47*COUNTIF($E$25:$E$28,"&lt;="&amp;VALUE(SUBSTITUTE(R$51,"M","")))</f>
        <v>7245</v>
      </c>
      <c r="S67" s="990">
        <f>'HQ &amp; lab est.'!T31-'HQ &amp; lab est.'!T20+$E$47*COUNTIF($E$25:$E$28,"&lt;="&amp;VALUE(SUBSTITUTE(S$51,"M","")))</f>
        <v>7245</v>
      </c>
      <c r="T67" s="990">
        <f>'HQ &amp; lab est.'!U31-'HQ &amp; lab est.'!U20+$E$47*COUNTIF($E$25:$E$28,"&lt;="&amp;VALUE(SUBSTITUTE(T$51,"M","")))</f>
        <v>7245</v>
      </c>
      <c r="U67" s="991">
        <f t="shared" si="25"/>
        <v>148835</v>
      </c>
    </row>
    <row r="68">
      <c r="A68" s="633" t="s">
        <v>860</v>
      </c>
      <c r="B68" s="999">
        <v>0.0</v>
      </c>
      <c r="C68" s="992">
        <f>'Other expenses'!D35-'Other expenses'!D10+$E$48*COUNTIF($E$26:$E$28,"&lt;="&amp;VALUE(SUBSTITUTE(C$51,"M","")))</f>
        <v>2850</v>
      </c>
      <c r="D68" s="992">
        <f>'Other expenses'!E35-'Other expenses'!E10+$E$48*COUNTIF($E$26:$E$28,"&lt;="&amp;VALUE(SUBSTITUTE(D$51,"M","")))</f>
        <v>4590</v>
      </c>
      <c r="E68" s="992">
        <f>'Other expenses'!F35-'Other expenses'!F10+$E$48*COUNTIF($E$26:$E$28,"&lt;="&amp;VALUE(SUBSTITUTE(E$51,"M","")))</f>
        <v>1510</v>
      </c>
      <c r="F68" s="992">
        <f>'Other expenses'!G35-'Other expenses'!G10+$E$48*COUNTIF($E$26:$E$28,"&lt;="&amp;VALUE(SUBSTITUTE(F$51,"M","")))</f>
        <v>2610</v>
      </c>
      <c r="G68" s="992">
        <f>'Other expenses'!H35-'Other expenses'!H10+$E$48*COUNTIF($E$26:$E$28,"&lt;="&amp;VALUE(SUBSTITUTE(G$51,"M","")))</f>
        <v>1730</v>
      </c>
      <c r="H68" s="992">
        <f>'Other expenses'!I35-'Other expenses'!I10+$E$48*COUNTIF($E$26:$E$28,"&lt;="&amp;VALUE(SUBSTITUTE(H$51,"M","")))</f>
        <v>9980</v>
      </c>
      <c r="I68" s="992">
        <f>'Other expenses'!J35-'Other expenses'!J10+$E$48*COUNTIF($E$26:$E$28,"&lt;="&amp;VALUE(SUBSTITUTE(I$51,"M","")))</f>
        <v>1730</v>
      </c>
      <c r="J68" s="992">
        <f>'Other expenses'!K35-'Other expenses'!K10+$E$48*COUNTIF($E$26:$E$28,"&lt;="&amp;VALUE(SUBSTITUTE(J$51,"M","")))</f>
        <v>3930</v>
      </c>
      <c r="K68" s="992">
        <f>'Other expenses'!L35-'Other expenses'!L10+$E$48*COUNTIF($E$26:$E$28,"&lt;="&amp;VALUE(SUBSTITUTE(K$51,"M","")))</f>
        <v>10530</v>
      </c>
      <c r="L68" s="992">
        <f>'Other expenses'!M35-'Other expenses'!M10+$E$48*COUNTIF($E$26:$E$28,"&lt;="&amp;VALUE(SUBSTITUTE(L$51,"M","")))</f>
        <v>5030</v>
      </c>
      <c r="M68" s="992">
        <f>'Other expenses'!N35-'Other expenses'!N10+$E$48*COUNTIF($E$26:$E$28,"&lt;="&amp;VALUE(SUBSTITUTE(M$51,"M","")))</f>
        <v>8880</v>
      </c>
      <c r="N68" s="992">
        <f>'Other expenses'!O35-'Other expenses'!O10+$E$48*COUNTIF($E$26:$E$28,"&lt;="&amp;VALUE(SUBSTITUTE(N$51,"M","")))</f>
        <v>1730</v>
      </c>
      <c r="O68" s="992">
        <f>'Other expenses'!P35-'Other expenses'!P10+$E$48*COUNTIF($E$26:$E$28,"&lt;="&amp;VALUE(SUBSTITUTE(O$51,"M","")))</f>
        <v>3730</v>
      </c>
      <c r="P68" s="992">
        <f>'Other expenses'!Q35-'Other expenses'!Q10+$E$48*COUNTIF($E$26:$E$28,"&lt;="&amp;VALUE(SUBSTITUTE(P$51,"M","")))</f>
        <v>5030</v>
      </c>
      <c r="Q68" s="992">
        <f>'Other expenses'!R35-'Other expenses'!R10+$E$48*COUNTIF($E$26:$E$28,"&lt;="&amp;VALUE(SUBSTITUTE(Q$51,"M","")))</f>
        <v>10530</v>
      </c>
      <c r="R68" s="992">
        <f>'Other expenses'!S35-'Other expenses'!S10+$E$48*COUNTIF($E$26:$E$28,"&lt;="&amp;VALUE(SUBSTITUTE(R$51,"M","")))</f>
        <v>7230</v>
      </c>
      <c r="S68" s="992">
        <f>'Other expenses'!T35-'Other expenses'!T10+$E$48*COUNTIF($E$26:$E$28,"&lt;="&amp;VALUE(SUBSTITUTE(S$51,"M","")))</f>
        <v>1730</v>
      </c>
      <c r="T68" s="992">
        <f>'Other expenses'!U35-'Other expenses'!U10+$E$48*COUNTIF($E$26:$E$28,"&lt;="&amp;VALUE(SUBSTITUTE(T$51,"M","")))</f>
        <v>1730</v>
      </c>
      <c r="U68" s="993">
        <f t="shared" si="25"/>
        <v>85080</v>
      </c>
    </row>
    <row r="69">
      <c r="A69" s="1001" t="s">
        <v>861</v>
      </c>
      <c r="B69" s="1002">
        <v>0.0</v>
      </c>
      <c r="C69" s="1003">
        <f t="shared" ref="C69:T69" si="26">SUM(C65:C68)</f>
        <v>72485.12</v>
      </c>
      <c r="D69" s="1003">
        <f t="shared" si="26"/>
        <v>21591.14</v>
      </c>
      <c r="E69" s="1003">
        <f t="shared" si="26"/>
        <v>20805.64</v>
      </c>
      <c r="F69" s="1003">
        <f t="shared" si="26"/>
        <v>31298.83</v>
      </c>
      <c r="G69" s="1003">
        <f t="shared" si="26"/>
        <v>28858.65</v>
      </c>
      <c r="H69" s="1003">
        <f t="shared" si="26"/>
        <v>38372.81</v>
      </c>
      <c r="I69" s="1003">
        <f t="shared" si="26"/>
        <v>30202.28</v>
      </c>
      <c r="J69" s="1003">
        <f t="shared" si="26"/>
        <v>38251.93</v>
      </c>
      <c r="K69" s="1003">
        <f t="shared" si="26"/>
        <v>39976.93</v>
      </c>
      <c r="L69" s="1003">
        <f t="shared" si="26"/>
        <v>34582.2</v>
      </c>
      <c r="M69" s="1003">
        <f t="shared" si="26"/>
        <v>41057.2</v>
      </c>
      <c r="N69" s="1003">
        <f t="shared" si="26"/>
        <v>33901.67</v>
      </c>
      <c r="O69" s="1003">
        <f t="shared" si="26"/>
        <v>39673.56</v>
      </c>
      <c r="P69" s="1003">
        <f t="shared" si="26"/>
        <v>37360.32</v>
      </c>
      <c r="Q69" s="1003">
        <f t="shared" si="26"/>
        <v>40235.32</v>
      </c>
      <c r="R69" s="1003">
        <f t="shared" si="26"/>
        <v>39258.96</v>
      </c>
      <c r="S69" s="1003">
        <f t="shared" si="26"/>
        <v>34133.96</v>
      </c>
      <c r="T69" s="1003">
        <f t="shared" si="26"/>
        <v>31509.06</v>
      </c>
      <c r="U69" s="1004">
        <f t="shared" si="25"/>
        <v>653555.58</v>
      </c>
    </row>
    <row r="70">
      <c r="A70" s="620" t="s">
        <v>862</v>
      </c>
      <c r="B70" s="998">
        <v>0.0</v>
      </c>
      <c r="C70" s="990">
        <f t="shared" ref="C70:T70" si="27">IF(C$51=$B$46,$E$46,0)</f>
        <v>0</v>
      </c>
      <c r="D70" s="990">
        <f t="shared" si="27"/>
        <v>0</v>
      </c>
      <c r="E70" s="990">
        <f t="shared" si="27"/>
        <v>0</v>
      </c>
      <c r="F70" s="990">
        <f t="shared" si="27"/>
        <v>0</v>
      </c>
      <c r="G70" s="990">
        <f t="shared" si="27"/>
        <v>0</v>
      </c>
      <c r="H70" s="990">
        <f t="shared" si="27"/>
        <v>0</v>
      </c>
      <c r="I70" s="990">
        <f t="shared" si="27"/>
        <v>0</v>
      </c>
      <c r="J70" s="990">
        <f t="shared" si="27"/>
        <v>0</v>
      </c>
      <c r="K70" s="990">
        <f t="shared" si="27"/>
        <v>0</v>
      </c>
      <c r="L70" s="990">
        <f t="shared" si="27"/>
        <v>0</v>
      </c>
      <c r="M70" s="990">
        <f t="shared" si="27"/>
        <v>0</v>
      </c>
      <c r="N70" s="990">
        <f t="shared" si="27"/>
        <v>0</v>
      </c>
      <c r="O70" s="990">
        <f t="shared" si="27"/>
        <v>0</v>
      </c>
      <c r="P70" s="990">
        <f t="shared" si="27"/>
        <v>0</v>
      </c>
      <c r="Q70" s="990">
        <f t="shared" si="27"/>
        <v>0</v>
      </c>
      <c r="R70" s="990">
        <f t="shared" si="27"/>
        <v>0</v>
      </c>
      <c r="S70" s="990">
        <f t="shared" si="27"/>
        <v>0</v>
      </c>
      <c r="T70" s="990">
        <f t="shared" si="27"/>
        <v>0</v>
      </c>
      <c r="U70" s="991">
        <f t="shared" si="25"/>
        <v>0</v>
      </c>
    </row>
    <row r="71">
      <c r="A71" s="1001" t="s">
        <v>863</v>
      </c>
      <c r="B71" s="1003">
        <f t="shared" ref="B71:T71" si="28">B55+B70-B69</f>
        <v>186000</v>
      </c>
      <c r="C71" s="1003">
        <f t="shared" si="28"/>
        <v>-72485.12</v>
      </c>
      <c r="D71" s="1003">
        <f t="shared" si="28"/>
        <v>-21591.14</v>
      </c>
      <c r="E71" s="1003">
        <f t="shared" si="28"/>
        <v>211694.36</v>
      </c>
      <c r="F71" s="1003">
        <f t="shared" si="28"/>
        <v>-31298.83</v>
      </c>
      <c r="G71" s="1003">
        <f t="shared" si="28"/>
        <v>-28858.65</v>
      </c>
      <c r="H71" s="1003">
        <f t="shared" si="28"/>
        <v>240627.19</v>
      </c>
      <c r="I71" s="1003">
        <f t="shared" si="28"/>
        <v>-30202.28</v>
      </c>
      <c r="J71" s="1003">
        <f t="shared" si="28"/>
        <v>-38251.93</v>
      </c>
      <c r="K71" s="1003">
        <f t="shared" si="28"/>
        <v>-39976.93</v>
      </c>
      <c r="L71" s="1003">
        <f t="shared" si="28"/>
        <v>-34582.2</v>
      </c>
      <c r="M71" s="1003">
        <f t="shared" si="28"/>
        <v>-41057.2</v>
      </c>
      <c r="N71" s="1003">
        <f t="shared" si="28"/>
        <v>-33901.67</v>
      </c>
      <c r="O71" s="1003">
        <f t="shared" si="28"/>
        <v>-39673.56</v>
      </c>
      <c r="P71" s="1003">
        <f t="shared" si="28"/>
        <v>-37360.32</v>
      </c>
      <c r="Q71" s="1003">
        <f t="shared" si="28"/>
        <v>-40235.32</v>
      </c>
      <c r="R71" s="1003">
        <f t="shared" si="28"/>
        <v>-39258.96</v>
      </c>
      <c r="S71" s="1003">
        <f t="shared" si="28"/>
        <v>-34133.96</v>
      </c>
      <c r="T71" s="1003">
        <f t="shared" si="28"/>
        <v>-31509.06</v>
      </c>
      <c r="U71" s="1004">
        <f t="shared" si="25"/>
        <v>43944.42</v>
      </c>
    </row>
    <row r="72">
      <c r="A72" s="1005" t="s">
        <v>864</v>
      </c>
      <c r="B72" s="1006">
        <f>'Assumptions &amp; Funding'!B10</f>
        <v>0</v>
      </c>
      <c r="C72" s="1006">
        <f t="shared" ref="C72:T72" si="29">B73</f>
        <v>186000</v>
      </c>
      <c r="D72" s="1006">
        <f t="shared" si="29"/>
        <v>113514.88</v>
      </c>
      <c r="E72" s="1006">
        <f t="shared" si="29"/>
        <v>91923.74</v>
      </c>
      <c r="F72" s="1006">
        <f t="shared" si="29"/>
        <v>303618.1</v>
      </c>
      <c r="G72" s="1006">
        <f t="shared" si="29"/>
        <v>272319.27</v>
      </c>
      <c r="H72" s="1006">
        <f t="shared" si="29"/>
        <v>243460.62</v>
      </c>
      <c r="I72" s="1006">
        <f t="shared" si="29"/>
        <v>484087.81</v>
      </c>
      <c r="J72" s="1006">
        <f t="shared" si="29"/>
        <v>453885.53</v>
      </c>
      <c r="K72" s="1006">
        <f t="shared" si="29"/>
        <v>415633.6</v>
      </c>
      <c r="L72" s="1006">
        <f t="shared" si="29"/>
        <v>375656.67</v>
      </c>
      <c r="M72" s="1006">
        <f t="shared" si="29"/>
        <v>341074.47</v>
      </c>
      <c r="N72" s="1006">
        <f t="shared" si="29"/>
        <v>300017.27</v>
      </c>
      <c r="O72" s="1006">
        <f t="shared" si="29"/>
        <v>266115.6</v>
      </c>
      <c r="P72" s="1006">
        <f t="shared" si="29"/>
        <v>226442.04</v>
      </c>
      <c r="Q72" s="1006">
        <f t="shared" si="29"/>
        <v>189081.72</v>
      </c>
      <c r="R72" s="1006">
        <f t="shared" si="29"/>
        <v>148846.4</v>
      </c>
      <c r="S72" s="1006">
        <f t="shared" si="29"/>
        <v>109587.44</v>
      </c>
      <c r="T72" s="1006">
        <f t="shared" si="29"/>
        <v>75453.48</v>
      </c>
      <c r="U72" s="1007"/>
    </row>
    <row r="73" ht="21.0" customHeight="1">
      <c r="A73" s="929" t="s">
        <v>865</v>
      </c>
      <c r="B73" s="933">
        <f t="shared" ref="B73:T73" si="30">B72+B71</f>
        <v>186000</v>
      </c>
      <c r="C73" s="933">
        <f t="shared" si="30"/>
        <v>113514.88</v>
      </c>
      <c r="D73" s="933">
        <f t="shared" si="30"/>
        <v>91923.74</v>
      </c>
      <c r="E73" s="933">
        <f t="shared" si="30"/>
        <v>303618.1</v>
      </c>
      <c r="F73" s="933">
        <f t="shared" si="30"/>
        <v>272319.27</v>
      </c>
      <c r="G73" s="933">
        <f t="shared" si="30"/>
        <v>243460.62</v>
      </c>
      <c r="H73" s="933">
        <f t="shared" si="30"/>
        <v>484087.81</v>
      </c>
      <c r="I73" s="933">
        <f t="shared" si="30"/>
        <v>453885.53</v>
      </c>
      <c r="J73" s="933">
        <f t="shared" si="30"/>
        <v>415633.6</v>
      </c>
      <c r="K73" s="933">
        <f t="shared" si="30"/>
        <v>375656.67</v>
      </c>
      <c r="L73" s="933">
        <f t="shared" si="30"/>
        <v>341074.47</v>
      </c>
      <c r="M73" s="933">
        <f t="shared" si="30"/>
        <v>300017.27</v>
      </c>
      <c r="N73" s="933">
        <f t="shared" si="30"/>
        <v>266115.6</v>
      </c>
      <c r="O73" s="933">
        <f t="shared" si="30"/>
        <v>226442.04</v>
      </c>
      <c r="P73" s="933">
        <f t="shared" si="30"/>
        <v>189081.72</v>
      </c>
      <c r="Q73" s="933">
        <f t="shared" si="30"/>
        <v>148846.4</v>
      </c>
      <c r="R73" s="933">
        <f t="shared" si="30"/>
        <v>109587.44</v>
      </c>
      <c r="S73" s="933">
        <f t="shared" si="30"/>
        <v>75453.48</v>
      </c>
      <c r="T73" s="933">
        <f t="shared" si="30"/>
        <v>43944.42</v>
      </c>
      <c r="U73" s="981">
        <f>T73</f>
        <v>43944.42</v>
      </c>
    </row>
    <row r="74" ht="21.0" customHeight="1">
      <c r="A74" s="1008" t="s">
        <v>866</v>
      </c>
      <c r="B74" s="1009" t="str">
        <f t="shared" ref="B74:T74" si="31">IF(B73&lt;0,"CASH SHORTFALL","FUNDED")</f>
        <v>FUNDED</v>
      </c>
      <c r="C74" s="1009" t="str">
        <f t="shared" si="31"/>
        <v>FUNDED</v>
      </c>
      <c r="D74" s="1009" t="str">
        <f t="shared" si="31"/>
        <v>FUNDED</v>
      </c>
      <c r="E74" s="1009" t="str">
        <f t="shared" si="31"/>
        <v>FUNDED</v>
      </c>
      <c r="F74" s="1009" t="str">
        <f t="shared" si="31"/>
        <v>FUNDED</v>
      </c>
      <c r="G74" s="1009" t="str">
        <f t="shared" si="31"/>
        <v>FUNDED</v>
      </c>
      <c r="H74" s="1009" t="str">
        <f t="shared" si="31"/>
        <v>FUNDED</v>
      </c>
      <c r="I74" s="1009" t="str">
        <f t="shared" si="31"/>
        <v>FUNDED</v>
      </c>
      <c r="J74" s="1009" t="str">
        <f t="shared" si="31"/>
        <v>FUNDED</v>
      </c>
      <c r="K74" s="1009" t="str">
        <f t="shared" si="31"/>
        <v>FUNDED</v>
      </c>
      <c r="L74" s="1009" t="str">
        <f t="shared" si="31"/>
        <v>FUNDED</v>
      </c>
      <c r="M74" s="1009" t="str">
        <f t="shared" si="31"/>
        <v>FUNDED</v>
      </c>
      <c r="N74" s="1009" t="str">
        <f t="shared" si="31"/>
        <v>FUNDED</v>
      </c>
      <c r="O74" s="1009" t="str">
        <f t="shared" si="31"/>
        <v>FUNDED</v>
      </c>
      <c r="P74" s="1009" t="str">
        <f t="shared" si="31"/>
        <v>FUNDED</v>
      </c>
      <c r="Q74" s="1009" t="str">
        <f t="shared" si="31"/>
        <v>FUNDED</v>
      </c>
      <c r="R74" s="1009" t="str">
        <f t="shared" si="31"/>
        <v>FUNDED</v>
      </c>
      <c r="S74" s="1009" t="str">
        <f t="shared" si="31"/>
        <v>FUNDED</v>
      </c>
      <c r="T74" s="1009" t="str">
        <f t="shared" si="31"/>
        <v>FUNDED</v>
      </c>
      <c r="U74" s="1009" t="str">
        <f>IF(COUNTIF(B74:T74,"CASH SHORTFALL")&gt;0,"REVIEW","PASS")</f>
        <v>PASS</v>
      </c>
    </row>
    <row r="75">
      <c r="A75" s="109"/>
      <c r="B75" s="109"/>
      <c r="C75" s="109"/>
      <c r="D75" s="109"/>
      <c r="E75" s="109"/>
      <c r="F75" s="109"/>
      <c r="G75" s="109"/>
      <c r="H75" s="109"/>
      <c r="I75" s="109"/>
      <c r="J75" s="109"/>
      <c r="K75" s="109"/>
      <c r="L75" s="109"/>
      <c r="M75" s="109"/>
      <c r="N75" s="109"/>
      <c r="O75" s="109"/>
      <c r="P75" s="109"/>
      <c r="Q75" s="109"/>
      <c r="R75" s="109"/>
      <c r="S75" s="109"/>
      <c r="T75" s="109"/>
      <c r="U75" s="109"/>
    </row>
    <row r="76" hidden="1" outlineLevel="1">
      <c r="A76" s="1010" t="s">
        <v>867</v>
      </c>
    </row>
    <row r="77" hidden="1" outlineLevel="1">
      <c r="A77" s="1011" t="s">
        <v>44</v>
      </c>
      <c r="B77" s="1011">
        <v>0.0</v>
      </c>
      <c r="C77" s="109">
        <f t="array" ref="C77">IF(VALUE(SUBSTITUTE(C$51,"M",""))&lt;$E25,0,IFERROR(INDEX('Hiring &amp; Compensation Plan'!$E$9:$V$9,1,VALUE(SUBSTITUTE(C$51,"M",""))-$E25+VALUE(SUBSTITUTE($C25,"M",""))),0)*IF($F25=0,0,$H25/$F25))</f>
        <v>3361.04</v>
      </c>
      <c r="D77" s="109">
        <f t="array" ref="D77">IF(VALUE(SUBSTITUTE(D$51,"M",""))&lt;$E25,0,IFERROR(INDEX('Hiring &amp; Compensation Plan'!$E$9:$V$9,1,VALUE(SUBSTITUTE(D$51,"M",""))-$E25+VALUE(SUBSTITUTE($C25,"M",""))),0)*IF($F25=0,0,$H25/$F25))</f>
        <v>5041.56</v>
      </c>
      <c r="E77" s="109">
        <f t="array" ref="E77">IF(VALUE(SUBSTITUTE(E$51,"M",""))&lt;$E25,0,IFERROR(INDEX('Hiring &amp; Compensation Plan'!$E$9:$V$9,1,VALUE(SUBSTITUTE(E$51,"M",""))-$E25+VALUE(SUBSTITUTE($C25,"M",""))),0)*IF($F25=0,0,$H25/$F25))</f>
        <v>5041.56</v>
      </c>
      <c r="F77" s="109">
        <f t="array" ref="F77">IF(VALUE(SUBSTITUTE(F$51,"M",""))&lt;$E25,0,IFERROR(INDEX('Hiring &amp; Compensation Plan'!$E$9:$V$9,1,VALUE(SUBSTITUTE(F$51,"M",""))-$E25+VALUE(SUBSTITUTE($C25,"M",""))),0)*IF($F25=0,0,$H25/$F25))</f>
        <v>5041.56</v>
      </c>
      <c r="G77" s="109">
        <f t="array" ref="G77">IF(VALUE(SUBSTITUTE(G$51,"M",""))&lt;$E25,0,IFERROR(INDEX('Hiring &amp; Compensation Plan'!$E$9:$V$9,1,VALUE(SUBSTITUTE(G$51,"M",""))-$E25+VALUE(SUBSTITUTE($C25,"M",""))),0)*IF($F25=0,0,$H25/$F25))</f>
        <v>5041.56</v>
      </c>
      <c r="H77" s="109">
        <f t="array" ref="H77">IF(VALUE(SUBSTITUTE(H$51,"M",""))&lt;$E25,0,IFERROR(INDEX('Hiring &amp; Compensation Plan'!$E$9:$V$9,1,VALUE(SUBSTITUTE(H$51,"M",""))-$E25+VALUE(SUBSTITUTE($C25,"M",""))),0)*IF($F25=0,0,$H25/$F25))</f>
        <v>5041.56</v>
      </c>
      <c r="I77" s="109">
        <f t="array" ref="I77">IF(VALUE(SUBSTITUTE(I$51,"M",""))&lt;$E25,0,IFERROR(INDEX('Hiring &amp; Compensation Plan'!$E$9:$V$9,1,VALUE(SUBSTITUTE(I$51,"M",""))-$E25+VALUE(SUBSTITUTE($C25,"M",""))),0)*IF($F25=0,0,$H25/$F25))</f>
        <v>5041.56</v>
      </c>
      <c r="J77" s="109">
        <f t="array" ref="J77">IF(VALUE(SUBSTITUTE(J$51,"M",""))&lt;$E25,0,IFERROR(INDEX('Hiring &amp; Compensation Plan'!$E$9:$V$9,1,VALUE(SUBSTITUTE(J$51,"M",""))-$E25+VALUE(SUBSTITUTE($C25,"M",""))),0)*IF($F25=0,0,$H25/$F25))</f>
        <v>5041.56</v>
      </c>
      <c r="K77" s="109">
        <f t="array" ref="K77">IF(VALUE(SUBSTITUTE(K$51,"M",""))&lt;$E25,0,IFERROR(INDEX('Hiring &amp; Compensation Plan'!$E$9:$V$9,1,VALUE(SUBSTITUTE(K$51,"M",""))-$E25+VALUE(SUBSTITUTE($C25,"M",""))),0)*IF($F25=0,0,$H25/$F25))</f>
        <v>5041.56</v>
      </c>
      <c r="L77" s="109">
        <f t="array" ref="L77">IF(VALUE(SUBSTITUTE(L$51,"M",""))&lt;$E25,0,IFERROR(INDEX('Hiring &amp; Compensation Plan'!$E$9:$V$9,1,VALUE(SUBSTITUTE(L$51,"M",""))-$E25+VALUE(SUBSTITUTE($C25,"M",""))),0)*IF($F25=0,0,$H25/$F25))</f>
        <v>5041.56</v>
      </c>
      <c r="M77" s="109">
        <f t="array" ref="M77">IF(VALUE(SUBSTITUTE(M$51,"M",""))&lt;$E25,0,IFERROR(INDEX('Hiring &amp; Compensation Plan'!$E$9:$V$9,1,VALUE(SUBSTITUTE(M$51,"M",""))-$E25+VALUE(SUBSTITUTE($C25,"M",""))),0)*IF($F25=0,0,$H25/$F25))</f>
        <v>5041.56</v>
      </c>
      <c r="N77" s="109">
        <f t="array" ref="N77">IF(VALUE(SUBSTITUTE(N$51,"M",""))&lt;$E25,0,IFERROR(INDEX('Hiring &amp; Compensation Plan'!$E$9:$V$9,1,VALUE(SUBSTITUTE(N$51,"M",""))-$E25+VALUE(SUBSTITUTE($C25,"M",""))),0)*IF($F25=0,0,$H25/$F25))</f>
        <v>5041.56</v>
      </c>
      <c r="O77" s="109">
        <f t="array" ref="O77">IF(VALUE(SUBSTITUTE(O$51,"M",""))&lt;$E25,0,IFERROR(INDEX('Hiring &amp; Compensation Plan'!$E$9:$V$9,1,VALUE(SUBSTITUTE(O$51,"M",""))-$E25+VALUE(SUBSTITUTE($C25,"M",""))),0)*IF($F25=0,0,$H25/$F25))</f>
        <v>5041.56</v>
      </c>
      <c r="P77" s="109">
        <f t="array" ref="P77">IF(VALUE(SUBSTITUTE(P$51,"M",""))&lt;$E25,0,IFERROR(INDEX('Hiring &amp; Compensation Plan'!$E$9:$V$9,1,VALUE(SUBSTITUTE(P$51,"M",""))-$E25+VALUE(SUBSTITUTE($C25,"M",""))),0)*IF($F25=0,0,$H25/$F25))</f>
        <v>5041.56</v>
      </c>
      <c r="Q77" s="109">
        <f t="array" ref="Q77">IF(VALUE(SUBSTITUTE(Q$51,"M",""))&lt;$E25,0,IFERROR(INDEX('Hiring &amp; Compensation Plan'!$E$9:$V$9,1,VALUE(SUBSTITUTE(Q$51,"M",""))-$E25+VALUE(SUBSTITUTE($C25,"M",""))),0)*IF($F25=0,0,$H25/$F25))</f>
        <v>5041.56</v>
      </c>
      <c r="R77" s="109">
        <f t="array" ref="R77">IF(VALUE(SUBSTITUTE(R$51,"M",""))&lt;$E25,0,IFERROR(INDEX('Hiring &amp; Compensation Plan'!$E$9:$V$9,1,VALUE(SUBSTITUTE(R$51,"M",""))-$E25+VALUE(SUBSTITUTE($C25,"M",""))),0)*IF($F25=0,0,$H25/$F25))</f>
        <v>5041.56</v>
      </c>
      <c r="S77" s="109">
        <f t="array" ref="S77">IF(VALUE(SUBSTITUTE(S$51,"M",""))&lt;$E25,0,IFERROR(INDEX('Hiring &amp; Compensation Plan'!$E$9:$V$9,1,VALUE(SUBSTITUTE(S$51,"M",""))-$E25+VALUE(SUBSTITUTE($C25,"M",""))),0)*IF($F25=0,0,$H25/$F25))</f>
        <v>5041.56</v>
      </c>
      <c r="T77" s="109">
        <f t="array" ref="T77">IF(VALUE(SUBSTITUTE(T$51,"M",""))&lt;$E25,0,IFERROR(INDEX('Hiring &amp; Compensation Plan'!$E$9:$V$9,1,VALUE(SUBSTITUTE(T$51,"M",""))-$E25+VALUE(SUBSTITUTE($C25,"M",""))),0)*IF($F25=0,0,$H25/$F25))</f>
        <v>5041.56</v>
      </c>
      <c r="U77" s="109">
        <f t="shared" ref="U77:U82" si="32">SUM(C77:T77)</f>
        <v>89067.56</v>
      </c>
    </row>
    <row r="78" hidden="1" outlineLevel="1">
      <c r="A78" s="1011" t="s">
        <v>160</v>
      </c>
      <c r="B78" s="1011">
        <v>0.0</v>
      </c>
      <c r="C78" s="109">
        <f t="array" ref="C78">IF(VALUE(SUBSTITUTE(C$51,"M",""))&lt;$E26,0,IFERROR(INDEX('Hiring &amp; Compensation Plan'!$E$14:$V$14,1,VALUE(SUBSTITUTE(C$51,"M",""))-$E26+VALUE(SUBSTITUTE($C26,"M",""))),0)*IF($F26=0,0,$H26/$F26))</f>
        <v>0</v>
      </c>
      <c r="D78" s="109">
        <f t="array" ref="D78">IF(VALUE(SUBSTITUTE(D$51,"M",""))&lt;$E26,0,IFERROR(INDEX('Hiring &amp; Compensation Plan'!$E$14:$V$14,1,VALUE(SUBSTITUTE(D$51,"M",""))-$E26+VALUE(SUBSTITUTE($C26,"M",""))),0)*IF($F26=0,0,$H26/$F26))</f>
        <v>3361.04</v>
      </c>
      <c r="E78" s="109">
        <f t="array" ref="E78">IF(VALUE(SUBSTITUTE(E$51,"M",""))&lt;$E26,0,IFERROR(INDEX('Hiring &amp; Compensation Plan'!$E$14:$V$14,1,VALUE(SUBSTITUTE(E$51,"M",""))-$E26+VALUE(SUBSTITUTE($C26,"M",""))),0)*IF($F26=0,0,$H26/$F26))</f>
        <v>3361.04</v>
      </c>
      <c r="F78" s="109">
        <f t="array" ref="F78">IF(VALUE(SUBSTITUTE(F$51,"M",""))&lt;$E26,0,IFERROR(INDEX('Hiring &amp; Compensation Plan'!$E$14:$V$14,1,VALUE(SUBSTITUTE(F$51,"M",""))-$E26+VALUE(SUBSTITUTE($C26,"M",""))),0)*IF($F26=0,0,$H26/$F26))</f>
        <v>5041.56</v>
      </c>
      <c r="G78" s="109">
        <f t="array" ref="G78">IF(VALUE(SUBSTITUTE(G$51,"M",""))&lt;$E26,0,IFERROR(INDEX('Hiring &amp; Compensation Plan'!$E$14:$V$14,1,VALUE(SUBSTITUTE(G$51,"M",""))-$E26+VALUE(SUBSTITUTE($C26,"M",""))),0)*IF($F26=0,0,$H26/$F26))</f>
        <v>5041.56</v>
      </c>
      <c r="H78" s="109">
        <f t="array" ref="H78">IF(VALUE(SUBSTITUTE(H$51,"M",""))&lt;$E26,0,IFERROR(INDEX('Hiring &amp; Compensation Plan'!$E$14:$V$14,1,VALUE(SUBSTITUTE(H$51,"M",""))-$E26+VALUE(SUBSTITUTE($C26,"M",""))),0)*IF($F26=0,0,$H26/$F26))</f>
        <v>6722.08</v>
      </c>
      <c r="I78" s="109">
        <f t="array" ref="I78">IF(VALUE(SUBSTITUTE(I$51,"M",""))&lt;$E26,0,IFERROR(INDEX('Hiring &amp; Compensation Plan'!$E$14:$V$14,1,VALUE(SUBSTITUTE(I$51,"M",""))-$E26+VALUE(SUBSTITUTE($C26,"M",""))),0)*IF($F26=0,0,$H26/$F26))</f>
        <v>6722.08</v>
      </c>
      <c r="J78" s="109">
        <f t="array" ref="J78">IF(VALUE(SUBSTITUTE(J$51,"M",""))&lt;$E26,0,IFERROR(INDEX('Hiring &amp; Compensation Plan'!$E$14:$V$14,1,VALUE(SUBSTITUTE(J$51,"M",""))-$E26+VALUE(SUBSTITUTE($C26,"M",""))),0)*IF($F26=0,0,$H26/$F26))</f>
        <v>6722.08</v>
      </c>
      <c r="K78" s="109">
        <f t="array" ref="K78">IF(VALUE(SUBSTITUTE(K$51,"M",""))&lt;$E26,0,IFERROR(INDEX('Hiring &amp; Compensation Plan'!$E$14:$V$14,1,VALUE(SUBSTITUTE(K$51,"M",""))-$E26+VALUE(SUBSTITUTE($C26,"M",""))),0)*IF($F26=0,0,$H26/$F26))</f>
        <v>6722.08</v>
      </c>
      <c r="L78" s="109">
        <f t="array" ref="L78">IF(VALUE(SUBSTITUTE(L$51,"M",""))&lt;$E26,0,IFERROR(INDEX('Hiring &amp; Compensation Plan'!$E$14:$V$14,1,VALUE(SUBSTITUTE(L$51,"M",""))-$E26+VALUE(SUBSTITUTE($C26,"M",""))),0)*IF($F26=0,0,$H26/$F26))</f>
        <v>6722.08</v>
      </c>
      <c r="M78" s="109">
        <f t="array" ref="M78">IF(VALUE(SUBSTITUTE(M$51,"M",""))&lt;$E26,0,IFERROR(INDEX('Hiring &amp; Compensation Plan'!$E$14:$V$14,1,VALUE(SUBSTITUTE(M$51,"M",""))-$E26+VALUE(SUBSTITUTE($C26,"M",""))),0)*IF($F26=0,0,$H26/$F26))</f>
        <v>6722.08</v>
      </c>
      <c r="N78" s="109">
        <f t="array" ref="N78">IF(VALUE(SUBSTITUTE(N$51,"M",""))&lt;$E26,0,IFERROR(INDEX('Hiring &amp; Compensation Plan'!$E$14:$V$14,1,VALUE(SUBSTITUTE(N$51,"M",""))-$E26+VALUE(SUBSTITUTE($C26,"M",""))),0)*IF($F26=0,0,$H26/$F26))</f>
        <v>6722.08</v>
      </c>
      <c r="O78" s="109">
        <f t="array" ref="O78">IF(VALUE(SUBSTITUTE(O$51,"M",""))&lt;$E26,0,IFERROR(INDEX('Hiring &amp; Compensation Plan'!$E$14:$V$14,1,VALUE(SUBSTITUTE(O$51,"M",""))-$E26+VALUE(SUBSTITUTE($C26,"M",""))),0)*IF($F26=0,0,$H26/$F26))</f>
        <v>6722.08</v>
      </c>
      <c r="P78" s="109">
        <f t="array" ref="P78">IF(VALUE(SUBSTITUTE(P$51,"M",""))&lt;$E26,0,IFERROR(INDEX('Hiring &amp; Compensation Plan'!$E$14:$V$14,1,VALUE(SUBSTITUTE(P$51,"M",""))-$E26+VALUE(SUBSTITUTE($C26,"M",""))),0)*IF($F26=0,0,$H26/$F26))</f>
        <v>6722.08</v>
      </c>
      <c r="Q78" s="109">
        <f t="array" ref="Q78">IF(VALUE(SUBSTITUTE(Q$51,"M",""))&lt;$E26,0,IFERROR(INDEX('Hiring &amp; Compensation Plan'!$E$14:$V$14,1,VALUE(SUBSTITUTE(Q$51,"M",""))-$E26+VALUE(SUBSTITUTE($C26,"M",""))),0)*IF($F26=0,0,$H26/$F26))</f>
        <v>6722.08</v>
      </c>
      <c r="R78" s="109">
        <f t="array" ref="R78">IF(VALUE(SUBSTITUTE(R$51,"M",""))&lt;$E26,0,IFERROR(INDEX('Hiring &amp; Compensation Plan'!$E$14:$V$14,1,VALUE(SUBSTITUTE(R$51,"M",""))-$E26+VALUE(SUBSTITUTE($C26,"M",""))),0)*IF($F26=0,0,$H26/$F26))</f>
        <v>6722.08</v>
      </c>
      <c r="S78" s="109">
        <f t="array" ref="S78">IF(VALUE(SUBSTITUTE(S$51,"M",""))&lt;$E26,0,IFERROR(INDEX('Hiring &amp; Compensation Plan'!$E$14:$V$14,1,VALUE(SUBSTITUTE(S$51,"M",""))-$E26+VALUE(SUBSTITUTE($C26,"M",""))),0)*IF($F26=0,0,$H26/$F26))</f>
        <v>6722.08</v>
      </c>
      <c r="T78" s="109">
        <f t="array" ref="T78">IF(VALUE(SUBSTITUTE(T$51,"M",""))&lt;$E26,0,IFERROR(INDEX('Hiring &amp; Compensation Plan'!$E$14:$V$14,1,VALUE(SUBSTITUTE(T$51,"M",""))-$E26+VALUE(SUBSTITUTE($C26,"M",""))),0)*IF($F26=0,0,$H26/$F26))</f>
        <v>6722.08</v>
      </c>
      <c r="U78" s="109">
        <f t="shared" si="32"/>
        <v>104192.24</v>
      </c>
    </row>
    <row r="79" hidden="1" outlineLevel="1">
      <c r="A79" s="1011" t="s">
        <v>246</v>
      </c>
      <c r="B79" s="1011">
        <v>0.0</v>
      </c>
      <c r="C79" s="109">
        <f t="array" ref="C79">IF(VALUE(SUBSTITUTE(C$51,"M",""))&lt;$E27,0,IFERROR(INDEX('Hiring &amp; Compensation Plan'!$E$19:$V$19,1,VALUE(SUBSTITUTE(C$51,"M",""))-$E27+VALUE(SUBSTITUTE($C27,"M",""))),0)*IF($F27=0,0,$H27/$F27))</f>
        <v>0</v>
      </c>
      <c r="D79" s="109">
        <f t="array" ref="D79">IF(VALUE(SUBSTITUTE(D$51,"M",""))&lt;$E27,0,IFERROR(INDEX('Hiring &amp; Compensation Plan'!$E$19:$V$19,1,VALUE(SUBSTITUTE(D$51,"M",""))-$E27+VALUE(SUBSTITUTE($C27,"M",""))),0)*IF($F27=0,0,$H27/$F27))</f>
        <v>1212</v>
      </c>
      <c r="E79" s="109">
        <f t="array" ref="E79">IF(VALUE(SUBSTITUTE(E$51,"M",""))&lt;$E27,0,IFERROR(INDEX('Hiring &amp; Compensation Plan'!$E$19:$V$19,1,VALUE(SUBSTITUTE(E$51,"M",""))-$E27+VALUE(SUBSTITUTE($C27,"M",""))),0)*IF($F27=0,0,$H27/$F27))</f>
        <v>1212</v>
      </c>
      <c r="F79" s="109">
        <f t="array" ref="F79">IF(VALUE(SUBSTITUTE(F$51,"M",""))&lt;$E27,0,IFERROR(INDEX('Hiring &amp; Compensation Plan'!$E$19:$V$19,1,VALUE(SUBSTITUTE(F$51,"M",""))-$E27+VALUE(SUBSTITUTE($C27,"M",""))),0)*IF($F27=0,0,$H27/$F27))</f>
        <v>3361.04</v>
      </c>
      <c r="G79" s="109">
        <f t="array" ref="G79">IF(VALUE(SUBSTITUTE(G$51,"M",""))&lt;$E27,0,IFERROR(INDEX('Hiring &amp; Compensation Plan'!$E$19:$V$19,1,VALUE(SUBSTITUTE(G$51,"M",""))-$E27+VALUE(SUBSTITUTE($C27,"M",""))),0)*IF($F27=0,0,$H27/$F27))</f>
        <v>3361.04</v>
      </c>
      <c r="H79" s="109">
        <f t="array" ref="H79">IF(VALUE(SUBSTITUTE(H$51,"M",""))&lt;$E27,0,IFERROR(INDEX('Hiring &amp; Compensation Plan'!$E$19:$V$19,1,VALUE(SUBSTITUTE(H$51,"M",""))-$E27+VALUE(SUBSTITUTE($C27,"M",""))),0)*IF($F27=0,0,$H27/$F27))</f>
        <v>4201.3</v>
      </c>
      <c r="I79" s="109">
        <f t="array" ref="I79">IF(VALUE(SUBSTITUTE(I$51,"M",""))&lt;$E27,0,IFERROR(INDEX('Hiring &amp; Compensation Plan'!$E$19:$V$19,1,VALUE(SUBSTITUTE(I$51,"M",""))-$E27+VALUE(SUBSTITUTE($C27,"M",""))),0)*IF($F27=0,0,$H27/$F27))</f>
        <v>4201.3</v>
      </c>
      <c r="J79" s="109">
        <f t="array" ref="J79">IF(VALUE(SUBSTITUTE(J$51,"M",""))&lt;$E27,0,IFERROR(INDEX('Hiring &amp; Compensation Plan'!$E$19:$V$19,1,VALUE(SUBSTITUTE(J$51,"M",""))-$E27+VALUE(SUBSTITUTE($C27,"M",""))),0)*IF($F27=0,0,$H27/$F27))</f>
        <v>4201.3</v>
      </c>
      <c r="K79" s="109">
        <f t="array" ref="K79">IF(VALUE(SUBSTITUTE(K$51,"M",""))&lt;$E27,0,IFERROR(INDEX('Hiring &amp; Compensation Plan'!$E$19:$V$19,1,VALUE(SUBSTITUTE(K$51,"M",""))-$E27+VALUE(SUBSTITUTE($C27,"M",""))),0)*IF($F27=0,0,$H27/$F27))</f>
        <v>4201.3</v>
      </c>
      <c r="L79" s="109">
        <f t="array" ref="L79">IF(VALUE(SUBSTITUTE(L$51,"M",""))&lt;$E27,0,IFERROR(INDEX('Hiring &amp; Compensation Plan'!$E$19:$V$19,1,VALUE(SUBSTITUTE(L$51,"M",""))-$E27+VALUE(SUBSTITUTE($C27,"M",""))),0)*IF($F27=0,0,$H27/$F27))</f>
        <v>4201.3</v>
      </c>
      <c r="M79" s="109">
        <f t="array" ref="M79">IF(VALUE(SUBSTITUTE(M$51,"M",""))&lt;$E27,0,IFERROR(INDEX('Hiring &amp; Compensation Plan'!$E$19:$V$19,1,VALUE(SUBSTITUTE(M$51,"M",""))-$E27+VALUE(SUBSTITUTE($C27,"M",""))),0)*IF($F27=0,0,$H27/$F27))</f>
        <v>4201.3</v>
      </c>
      <c r="N79" s="109">
        <f t="array" ref="N79">IF(VALUE(SUBSTITUTE(N$51,"M",""))&lt;$E27,0,IFERROR(INDEX('Hiring &amp; Compensation Plan'!$E$19:$V$19,1,VALUE(SUBSTITUTE(N$51,"M",""))-$E27+VALUE(SUBSTITUTE($C27,"M",""))),0)*IF($F27=0,0,$H27/$F27))</f>
        <v>4201.3</v>
      </c>
      <c r="O79" s="109">
        <f t="array" ref="O79">IF(VALUE(SUBSTITUTE(O$51,"M",""))&lt;$E27,0,IFERROR(INDEX('Hiring &amp; Compensation Plan'!$E$19:$V$19,1,VALUE(SUBSTITUTE(O$51,"M",""))-$E27+VALUE(SUBSTITUTE($C27,"M",""))),0)*IF($F27=0,0,$H27/$F27))</f>
        <v>4201.3</v>
      </c>
      <c r="P79" s="109">
        <f t="array" ref="P79">IF(VALUE(SUBSTITUTE(P$51,"M",""))&lt;$E27,0,IFERROR(INDEX('Hiring &amp; Compensation Plan'!$E$19:$V$19,1,VALUE(SUBSTITUTE(P$51,"M",""))-$E27+VALUE(SUBSTITUTE($C27,"M",""))),0)*IF($F27=0,0,$H27/$F27))</f>
        <v>4201.3</v>
      </c>
      <c r="Q79" s="109">
        <f t="array" ref="Q79">IF(VALUE(SUBSTITUTE(Q$51,"M",""))&lt;$E27,0,IFERROR(INDEX('Hiring &amp; Compensation Plan'!$E$19:$V$19,1,VALUE(SUBSTITUTE(Q$51,"M",""))-$E27+VALUE(SUBSTITUTE($C27,"M",""))),0)*IF($F27=0,0,$H27/$F27))</f>
        <v>4201.3</v>
      </c>
      <c r="R79" s="109">
        <f t="array" ref="R79">IF(VALUE(SUBSTITUTE(R$51,"M",""))&lt;$E27,0,IFERROR(INDEX('Hiring &amp; Compensation Plan'!$E$19:$V$19,1,VALUE(SUBSTITUTE(R$51,"M",""))-$E27+VALUE(SUBSTITUTE($C27,"M",""))),0)*IF($F27=0,0,$H27/$F27))</f>
        <v>4201.3</v>
      </c>
      <c r="S79" s="109">
        <f t="array" ref="S79">IF(VALUE(SUBSTITUTE(S$51,"M",""))&lt;$E27,0,IFERROR(INDEX('Hiring &amp; Compensation Plan'!$E$19:$V$19,1,VALUE(SUBSTITUTE(S$51,"M",""))-$E27+VALUE(SUBSTITUTE($C27,"M",""))),0)*IF($F27=0,0,$H27/$F27))</f>
        <v>4201.3</v>
      </c>
      <c r="T79" s="109">
        <f t="array" ref="T79">IF(VALUE(SUBSTITUTE(T$51,"M",""))&lt;$E27,0,IFERROR(INDEX('Hiring &amp; Compensation Plan'!$E$19:$V$19,1,VALUE(SUBSTITUTE(T$51,"M",""))-$E27+VALUE(SUBSTITUTE($C27,"M",""))),0)*IF($F27=0,0,$H27/$F27))</f>
        <v>4201.3</v>
      </c>
      <c r="U79" s="109">
        <f t="shared" si="32"/>
        <v>63762.98</v>
      </c>
    </row>
    <row r="80" hidden="1" outlineLevel="1">
      <c r="A80" s="1011" t="s">
        <v>316</v>
      </c>
      <c r="B80" s="1011">
        <v>0.0</v>
      </c>
      <c r="C80" s="109">
        <f t="array" ref="C80">IF(VALUE(SUBSTITUTE(C$51,"M",""))&lt;$E28,0,IFERROR(INDEX('Hiring &amp; Compensation Plan'!$E$24:$V$24,1,VALUE(SUBSTITUTE(C$51,"M",""))-$E28+VALUE(SUBSTITUTE($C28,"M",""))),0)*IF($F28=0,0,$H28/$F28))</f>
        <v>0</v>
      </c>
      <c r="D80" s="109">
        <f t="array" ref="D80">IF(VALUE(SUBSTITUTE(D$51,"M",""))&lt;$E28,0,IFERROR(INDEX('Hiring &amp; Compensation Plan'!$E$24:$V$24,1,VALUE(SUBSTITUTE(D$51,"M",""))-$E28+VALUE(SUBSTITUTE($C28,"M",""))),0)*IF($F28=0,0,$H28/$F28))</f>
        <v>0</v>
      </c>
      <c r="E80" s="109">
        <f t="array" ref="E80">IF(VALUE(SUBSTITUTE(E$51,"M",""))&lt;$E28,0,IFERROR(INDEX('Hiring &amp; Compensation Plan'!$E$24:$V$24,1,VALUE(SUBSTITUTE(E$51,"M",""))-$E28+VALUE(SUBSTITUTE($C28,"M",""))),0)*IF($F28=0,0,$H28/$F28))</f>
        <v>0</v>
      </c>
      <c r="F80" s="109">
        <f t="array" ref="F80">IF(VALUE(SUBSTITUTE(F$51,"M",""))&lt;$E28,0,IFERROR(INDEX('Hiring &amp; Compensation Plan'!$E$24:$V$24,1,VALUE(SUBSTITUTE(F$51,"M",""))-$E28+VALUE(SUBSTITUTE($C28,"M",""))),0)*IF($F28=0,0,$H28/$F28))</f>
        <v>0</v>
      </c>
      <c r="G80" s="109">
        <f t="array" ref="G80">IF(VALUE(SUBSTITUTE(G$51,"M",""))&lt;$E28,0,IFERROR(INDEX('Hiring &amp; Compensation Plan'!$E$24:$V$24,1,VALUE(SUBSTITUTE(G$51,"M",""))-$E28+VALUE(SUBSTITUTE($C28,"M",""))),0)*IF($F28=0,0,$H28/$F28))</f>
        <v>3361.04</v>
      </c>
      <c r="H80" s="109">
        <f t="array" ref="H80">IF(VALUE(SUBSTITUTE(H$51,"M",""))&lt;$E28,0,IFERROR(INDEX('Hiring &amp; Compensation Plan'!$E$24:$V$24,1,VALUE(SUBSTITUTE(H$51,"M",""))-$E28+VALUE(SUBSTITUTE($C28,"M",""))),0)*IF($F28=0,0,$H28/$F28))</f>
        <v>4201.3</v>
      </c>
      <c r="I80" s="109">
        <f t="array" ref="I80">IF(VALUE(SUBSTITUTE(I$51,"M",""))&lt;$E28,0,IFERROR(INDEX('Hiring &amp; Compensation Plan'!$E$24:$V$24,1,VALUE(SUBSTITUTE(I$51,"M",""))-$E28+VALUE(SUBSTITUTE($C28,"M",""))),0)*IF($F28=0,0,$H28/$F28))</f>
        <v>4201.3</v>
      </c>
      <c r="J80" s="109">
        <f t="array" ref="J80">IF(VALUE(SUBSTITUTE(J$51,"M",""))&lt;$E28,0,IFERROR(INDEX('Hiring &amp; Compensation Plan'!$E$24:$V$24,1,VALUE(SUBSTITUTE(J$51,"M",""))-$E28+VALUE(SUBSTITUTE($C28,"M",""))),0)*IF($F28=0,0,$H28/$F28))</f>
        <v>5041.56</v>
      </c>
      <c r="K80" s="109">
        <f t="array" ref="K80">IF(VALUE(SUBSTITUTE(K$51,"M",""))&lt;$E28,0,IFERROR(INDEX('Hiring &amp; Compensation Plan'!$E$24:$V$24,1,VALUE(SUBSTITUTE(K$51,"M",""))-$E28+VALUE(SUBSTITUTE($C28,"M",""))),0)*IF($F28=0,0,$H28/$F28))</f>
        <v>5041.56</v>
      </c>
      <c r="L80" s="109">
        <f t="array" ref="L80">IF(VALUE(SUBSTITUTE(L$51,"M",""))&lt;$E28,0,IFERROR(INDEX('Hiring &amp; Compensation Plan'!$E$24:$V$24,1,VALUE(SUBSTITUTE(L$51,"M",""))-$E28+VALUE(SUBSTITUTE($C28,"M",""))),0)*IF($F28=0,0,$H28/$F28))</f>
        <v>5041.56</v>
      </c>
      <c r="M80" s="109">
        <f t="array" ref="M80">IF(VALUE(SUBSTITUTE(M$51,"M",""))&lt;$E28,0,IFERROR(INDEX('Hiring &amp; Compensation Plan'!$E$24:$V$24,1,VALUE(SUBSTITUTE(M$51,"M",""))-$E28+VALUE(SUBSTITUTE($C28,"M",""))),0)*IF($F28=0,0,$H28/$F28))</f>
        <v>5041.56</v>
      </c>
      <c r="N80" s="109">
        <f t="array" ref="N80">IF(VALUE(SUBSTITUTE(N$51,"M",""))&lt;$E28,0,IFERROR(INDEX('Hiring &amp; Compensation Plan'!$E$24:$V$24,1,VALUE(SUBSTITUTE(N$51,"M",""))-$E28+VALUE(SUBSTITUTE($C28,"M",""))),0)*IF($F28=0,0,$H28/$F28))</f>
        <v>5041.56</v>
      </c>
      <c r="O80" s="109">
        <f t="array" ref="O80">IF(VALUE(SUBSTITUTE(O$51,"M",""))&lt;$E28,0,IFERROR(INDEX('Hiring &amp; Compensation Plan'!$E$24:$V$24,1,VALUE(SUBSTITUTE(O$51,"M",""))-$E28+VALUE(SUBSTITUTE($C28,"M",""))),0)*IF($F28=0,0,$H28/$F28))</f>
        <v>5041.56</v>
      </c>
      <c r="P80" s="109">
        <f t="array" ref="P80">IF(VALUE(SUBSTITUTE(P$51,"M",""))&lt;$E28,0,IFERROR(INDEX('Hiring &amp; Compensation Plan'!$E$24:$V$24,1,VALUE(SUBSTITUTE(P$51,"M",""))-$E28+VALUE(SUBSTITUTE($C28,"M",""))),0)*IF($F28=0,0,$H28/$F28))</f>
        <v>5041.56</v>
      </c>
      <c r="Q80" s="109">
        <f t="array" ref="Q80">IF(VALUE(SUBSTITUTE(Q$51,"M",""))&lt;$E28,0,IFERROR(INDEX('Hiring &amp; Compensation Plan'!$E$24:$V$24,1,VALUE(SUBSTITUTE(Q$51,"M",""))-$E28+VALUE(SUBSTITUTE($C28,"M",""))),0)*IF($F28=0,0,$H28/$F28))</f>
        <v>5041.56</v>
      </c>
      <c r="R80" s="109">
        <f t="array" ref="R80">IF(VALUE(SUBSTITUTE(R$51,"M",""))&lt;$E28,0,IFERROR(INDEX('Hiring &amp; Compensation Plan'!$E$24:$V$24,1,VALUE(SUBSTITUTE(R$51,"M",""))-$E28+VALUE(SUBSTITUTE($C28,"M",""))),0)*IF($F28=0,0,$H28/$F28))</f>
        <v>5041.56</v>
      </c>
      <c r="S80" s="109">
        <f t="array" ref="S80">IF(VALUE(SUBSTITUTE(S$51,"M",""))&lt;$E28,0,IFERROR(INDEX('Hiring &amp; Compensation Plan'!$E$24:$V$24,1,VALUE(SUBSTITUTE(S$51,"M",""))-$E28+VALUE(SUBSTITUTE($C28,"M",""))),0)*IF($F28=0,0,$H28/$F28))</f>
        <v>5041.56</v>
      </c>
      <c r="T80" s="109">
        <f t="array" ref="T80">IF(VALUE(SUBSTITUTE(T$51,"M",""))&lt;$E28,0,IFERROR(INDEX('Hiring &amp; Compensation Plan'!$E$24:$V$24,1,VALUE(SUBSTITUTE(T$51,"M",""))-$E28+VALUE(SUBSTITUTE($C28,"M",""))),0)*IF($F28=0,0,$H28/$F28))</f>
        <v>5041.56</v>
      </c>
      <c r="U80" s="109">
        <f t="shared" si="32"/>
        <v>67220.8</v>
      </c>
    </row>
    <row r="81" hidden="1" outlineLevel="1">
      <c r="A81" s="1011" t="s">
        <v>341</v>
      </c>
      <c r="B81" s="1011">
        <v>0.0</v>
      </c>
      <c r="C81" s="109">
        <f t="array" ref="C81">IF(VALUE(SUBSTITUTE(C$51,"M",""))&lt;$E29,0,IFERROR(INDEX('Hiring &amp; Compensation Plan'!$E$25:$V$25,1,VALUE(SUBSTITUTE(C$51,"M",""))-$E29+VALUE(SUBSTITUTE($C29,"M",""))),0)*IF($F29=0,0,$H29/$F29))</f>
        <v>2250</v>
      </c>
      <c r="D81" s="109">
        <f t="array" ref="D81">IF(VALUE(SUBSTITUTE(D$51,"M",""))&lt;$E29,0,IFERROR(INDEX('Hiring &amp; Compensation Plan'!$E$25:$V$25,1,VALUE(SUBSTITUTE(D$51,"M",""))-$E29+VALUE(SUBSTITUTE($C29,"M",""))),0)*IF($F29=0,0,$H29/$F29))</f>
        <v>0</v>
      </c>
      <c r="E81" s="109">
        <f t="array" ref="E81">IF(VALUE(SUBSTITUTE(E$51,"M",""))&lt;$E29,0,IFERROR(INDEX('Hiring &amp; Compensation Plan'!$E$25:$V$25,1,VALUE(SUBSTITUTE(E$51,"M",""))-$E29+VALUE(SUBSTITUTE($C29,"M",""))),0)*IF($F29=0,0,$H29/$F29))</f>
        <v>2250</v>
      </c>
      <c r="F81" s="109">
        <f t="array" ref="F81">IF(VALUE(SUBSTITUTE(F$51,"M",""))&lt;$E29,0,IFERROR(INDEX('Hiring &amp; Compensation Plan'!$E$25:$V$25,1,VALUE(SUBSTITUTE(F$51,"M",""))-$E29+VALUE(SUBSTITUTE($C29,"M",""))),0)*IF($F29=0,0,$H29/$F29))</f>
        <v>0</v>
      </c>
      <c r="G81" s="109">
        <f t="array" ref="G81">IF(VALUE(SUBSTITUTE(G$51,"M",""))&lt;$E29,0,IFERROR(INDEX('Hiring &amp; Compensation Plan'!$E$25:$V$25,1,VALUE(SUBSTITUTE(G$51,"M",""))-$E29+VALUE(SUBSTITUTE($C29,"M",""))),0)*IF($F29=0,0,$H29/$F29))</f>
        <v>2250</v>
      </c>
      <c r="H81" s="109">
        <f t="array" ref="H81">IF(VALUE(SUBSTITUTE(H$51,"M",""))&lt;$E29,0,IFERROR(INDEX('Hiring &amp; Compensation Plan'!$E$25:$V$25,1,VALUE(SUBSTITUTE(H$51,"M",""))-$E29+VALUE(SUBSTITUTE($C29,"M",""))),0)*IF($F29=0,0,$H29/$F29))</f>
        <v>0</v>
      </c>
      <c r="I81" s="109">
        <f t="array" ref="I81">IF(VALUE(SUBSTITUTE(I$51,"M",""))&lt;$E29,0,IFERROR(INDEX('Hiring &amp; Compensation Plan'!$E$25:$V$25,1,VALUE(SUBSTITUTE(I$51,"M",""))-$E29+VALUE(SUBSTITUTE($C29,"M",""))),0)*IF($F29=0,0,$H29/$F29))</f>
        <v>0</v>
      </c>
      <c r="J81" s="109">
        <f t="array" ref="J81">IF(VALUE(SUBSTITUTE(J$51,"M",""))&lt;$E29,0,IFERROR(INDEX('Hiring &amp; Compensation Plan'!$E$25:$V$25,1,VALUE(SUBSTITUTE(J$51,"M",""))-$E29+VALUE(SUBSTITUTE($C29,"M",""))),0)*IF($F29=0,0,$H29/$F29))</f>
        <v>2250</v>
      </c>
      <c r="K81" s="109">
        <f t="array" ref="K81">IF(VALUE(SUBSTITUTE(K$51,"M",""))&lt;$E29,0,IFERROR(INDEX('Hiring &amp; Compensation Plan'!$E$25:$V$25,1,VALUE(SUBSTITUTE(K$51,"M",""))-$E29+VALUE(SUBSTITUTE($C29,"M",""))),0)*IF($F29=0,0,$H29/$F29))</f>
        <v>0</v>
      </c>
      <c r="L81" s="109">
        <f t="array" ref="L81">IF(VALUE(SUBSTITUTE(L$51,"M",""))&lt;$E29,0,IFERROR(INDEX('Hiring &amp; Compensation Plan'!$E$25:$V$25,1,VALUE(SUBSTITUTE(L$51,"M",""))-$E29+VALUE(SUBSTITUTE($C29,"M",""))),0)*IF($F29=0,0,$H29/$F29))</f>
        <v>0</v>
      </c>
      <c r="M81" s="109">
        <f t="array" ref="M81">IF(VALUE(SUBSTITUTE(M$51,"M",""))&lt;$E29,0,IFERROR(INDEX('Hiring &amp; Compensation Plan'!$E$25:$V$25,1,VALUE(SUBSTITUTE(M$51,"M",""))-$E29+VALUE(SUBSTITUTE($C29,"M",""))),0)*IF($F29=0,0,$H29/$F29))</f>
        <v>0</v>
      </c>
      <c r="N81" s="109">
        <f t="array" ref="N81">IF(VALUE(SUBSTITUTE(N$51,"M",""))&lt;$E29,0,IFERROR(INDEX('Hiring &amp; Compensation Plan'!$E$25:$V$25,1,VALUE(SUBSTITUTE(N$51,"M",""))-$E29+VALUE(SUBSTITUTE($C29,"M",""))),0)*IF($F29=0,0,$H29/$F29))</f>
        <v>2250</v>
      </c>
      <c r="O81" s="109">
        <f t="array" ref="O81">IF(VALUE(SUBSTITUTE(O$51,"M",""))&lt;$E29,0,IFERROR(INDEX('Hiring &amp; Compensation Plan'!$E$25:$V$25,1,VALUE(SUBSTITUTE(O$51,"M",""))-$E29+VALUE(SUBSTITUTE($C29,"M",""))),0)*IF($F29=0,0,$H29/$F29))</f>
        <v>0</v>
      </c>
      <c r="P81" s="109">
        <f t="array" ref="P81">IF(VALUE(SUBSTITUTE(P$51,"M",""))&lt;$E29,0,IFERROR(INDEX('Hiring &amp; Compensation Plan'!$E$25:$V$25,1,VALUE(SUBSTITUTE(P$51,"M",""))-$E29+VALUE(SUBSTITUTE($C29,"M",""))),0)*IF($F29=0,0,$H29/$F29))</f>
        <v>0</v>
      </c>
      <c r="Q81" s="109">
        <f t="array" ref="Q81">IF(VALUE(SUBSTITUTE(Q$51,"M",""))&lt;$E29,0,IFERROR(INDEX('Hiring &amp; Compensation Plan'!$E$25:$V$25,1,VALUE(SUBSTITUTE(Q$51,"M",""))-$E29+VALUE(SUBSTITUTE($C29,"M",""))),0)*IF($F29=0,0,$H29/$F29))</f>
        <v>0</v>
      </c>
      <c r="R81" s="109">
        <f t="array" ref="R81">IF(VALUE(SUBSTITUTE(R$51,"M",""))&lt;$E29,0,IFERROR(INDEX('Hiring &amp; Compensation Plan'!$E$25:$V$25,1,VALUE(SUBSTITUTE(R$51,"M",""))-$E29+VALUE(SUBSTITUTE($C29,"M",""))),0)*IF($F29=0,0,$H29/$F29))</f>
        <v>2250</v>
      </c>
      <c r="S81" s="109">
        <f t="array" ref="S81">IF(VALUE(SUBSTITUTE(S$51,"M",""))&lt;$E29,0,IFERROR(INDEX('Hiring &amp; Compensation Plan'!$E$25:$V$25,1,VALUE(SUBSTITUTE(S$51,"M",""))-$E29+VALUE(SUBSTITUTE($C29,"M",""))),0)*IF($F29=0,0,$H29/$F29))</f>
        <v>0</v>
      </c>
      <c r="T81" s="109">
        <f t="array" ref="T81">IF(VALUE(SUBSTITUTE(T$51,"M",""))&lt;$E29,0,IFERROR(INDEX('Hiring &amp; Compensation Plan'!$E$25:$V$25,1,VALUE(SUBSTITUTE(T$51,"M",""))-$E29+VALUE(SUBSTITUTE($C29,"M",""))),0)*IF($F29=0,0,$H29/$F29))</f>
        <v>0</v>
      </c>
      <c r="U81" s="109">
        <f t="shared" si="32"/>
        <v>13500</v>
      </c>
    </row>
    <row r="82" hidden="1" outlineLevel="1">
      <c r="A82" s="1011" t="s">
        <v>868</v>
      </c>
      <c r="B82" s="109">
        <f t="shared" ref="B82:T82" si="33">SUM(B77:B81)</f>
        <v>0</v>
      </c>
      <c r="C82" s="109">
        <f t="shared" si="33"/>
        <v>5611.04</v>
      </c>
      <c r="D82" s="109">
        <f t="shared" si="33"/>
        <v>9614.6</v>
      </c>
      <c r="E82" s="109">
        <f t="shared" si="33"/>
        <v>11864.6</v>
      </c>
      <c r="F82" s="109">
        <f t="shared" si="33"/>
        <v>13444.16</v>
      </c>
      <c r="G82" s="109">
        <f t="shared" si="33"/>
        <v>19055.2</v>
      </c>
      <c r="H82" s="109">
        <f t="shared" si="33"/>
        <v>20166.24</v>
      </c>
      <c r="I82" s="109">
        <f t="shared" si="33"/>
        <v>20166.24</v>
      </c>
      <c r="J82" s="109">
        <f t="shared" si="33"/>
        <v>23256.5</v>
      </c>
      <c r="K82" s="109">
        <f t="shared" si="33"/>
        <v>21006.5</v>
      </c>
      <c r="L82" s="109">
        <f t="shared" si="33"/>
        <v>21006.5</v>
      </c>
      <c r="M82" s="109">
        <f t="shared" si="33"/>
        <v>21006.5</v>
      </c>
      <c r="N82" s="109">
        <f t="shared" si="33"/>
        <v>23256.5</v>
      </c>
      <c r="O82" s="109">
        <f t="shared" si="33"/>
        <v>21006.5</v>
      </c>
      <c r="P82" s="109">
        <f t="shared" si="33"/>
        <v>21006.5</v>
      </c>
      <c r="Q82" s="109">
        <f t="shared" si="33"/>
        <v>21006.5</v>
      </c>
      <c r="R82" s="109">
        <f t="shared" si="33"/>
        <v>23256.5</v>
      </c>
      <c r="S82" s="109">
        <f t="shared" si="33"/>
        <v>21006.5</v>
      </c>
      <c r="T82" s="109">
        <f t="shared" si="33"/>
        <v>21006.5</v>
      </c>
      <c r="U82" s="109">
        <f t="shared" si="32"/>
        <v>337743.58</v>
      </c>
    </row>
    <row r="83" hidden="1" outlineLevel="1">
      <c r="A83" s="1010" t="s">
        <v>869</v>
      </c>
    </row>
    <row r="84" hidden="1" outlineLevel="1">
      <c r="A84" s="1011" t="s">
        <v>55</v>
      </c>
      <c r="B84" s="1011">
        <v>0.0</v>
      </c>
      <c r="C84" s="109">
        <f t="array" ref="C84">IF(AND(VALUE(SUBSTITUTE(C$51,"M",""))-IF($F35="",0,$F35)&gt;=1,VALUE(SUBSTITUTE(C$51,"M",""))-IF($F35="",0,$F35)&lt;=18),INDEX('MVP &amp; lab hardware BOM'!$D$18:$U$18,1,VALUE(SUBSTITUTE(C$51,"M",""))-IF($F35="",0,$F35))*IF($C35=0,0,$E35/$C35),0)</f>
        <v>25589</v>
      </c>
      <c r="D84" s="109">
        <f t="array" ref="D84">IF(AND(VALUE(SUBSTITUTE(D$51,"M",""))-IF($F35="",0,$F35)&gt;=1,VALUE(SUBSTITUTE(D$51,"M",""))-IF($F35="",0,$F35)&lt;=18),INDEX('MVP &amp; lab hardware BOM'!$D$18:$U$18,1,VALUE(SUBSTITUTE(D$51,"M",""))-IF($F35="",0,$F35))*IF($C35=0,0,$E35/$C35),0)</f>
        <v>0</v>
      </c>
      <c r="E84" s="109">
        <f t="array" ref="E84">IF(AND(VALUE(SUBSTITUTE(E$51,"M",""))-IF($F35="",0,$F35)&gt;=1,VALUE(SUBSTITUTE(E$51,"M",""))-IF($F35="",0,$F35)&lt;=18),INDEX('MVP &amp; lab hardware BOM'!$D$18:$U$18,1,VALUE(SUBSTITUTE(E$51,"M",""))-IF($F35="",0,$F35))*IF($C35=0,0,$E35/$C35),0)</f>
        <v>0</v>
      </c>
      <c r="F84" s="109">
        <f t="array" ref="F84">IF(AND(VALUE(SUBSTITUTE(F$51,"M",""))-IF($F35="",0,$F35)&gt;=1,VALUE(SUBSTITUTE(F$51,"M",""))-IF($F35="",0,$F35)&lt;=18),INDEX('MVP &amp; lab hardware BOM'!$D$18:$U$18,1,VALUE(SUBSTITUTE(F$51,"M",""))-IF($F35="",0,$F35))*IF($C35=0,0,$E35/$C35),0)</f>
        <v>1500</v>
      </c>
      <c r="G84" s="109">
        <f t="array" ref="G84">IF(AND(VALUE(SUBSTITUTE(G$51,"M",""))-IF($F35="",0,$F35)&gt;=1,VALUE(SUBSTITUTE(G$51,"M",""))-IF($F35="",0,$F35)&lt;=18),INDEX('MVP &amp; lab hardware BOM'!$D$18:$U$18,1,VALUE(SUBSTITUTE(G$51,"M",""))-IF($F35="",0,$F35))*IF($C35=0,0,$E35/$C35),0)</f>
        <v>0</v>
      </c>
      <c r="H84" s="109">
        <f t="array" ref="H84">IF(AND(VALUE(SUBSTITUTE(H$51,"M",""))-IF($F35="",0,$F35)&gt;=1,VALUE(SUBSTITUTE(H$51,"M",""))-IF($F35="",0,$F35)&lt;=18),INDEX('MVP &amp; lab hardware BOM'!$D$18:$U$18,1,VALUE(SUBSTITUTE(H$51,"M",""))-IF($F35="",0,$F35))*IF($C35=0,0,$E35/$C35),0)</f>
        <v>0</v>
      </c>
      <c r="I84" s="109">
        <f t="array" ref="I84">IF(AND(VALUE(SUBSTITUTE(I$51,"M",""))-IF($F35="",0,$F35)&gt;=1,VALUE(SUBSTITUTE(I$51,"M",""))-IF($F35="",0,$F35)&lt;=18),INDEX('MVP &amp; lab hardware BOM'!$D$18:$U$18,1,VALUE(SUBSTITUTE(I$51,"M",""))-IF($F35="",0,$F35))*IF($C35=0,0,$E35/$C35),0)</f>
        <v>0</v>
      </c>
      <c r="J84" s="109">
        <f t="array" ref="J84">IF(AND(VALUE(SUBSTITUTE(J$51,"M",""))-IF($F35="",0,$F35)&gt;=1,VALUE(SUBSTITUTE(J$51,"M",""))-IF($F35="",0,$F35)&lt;=18),INDEX('MVP &amp; lab hardware BOM'!$D$18:$U$18,1,VALUE(SUBSTITUTE(J$51,"M",""))-IF($F35="",0,$F35))*IF($C35=0,0,$E35/$C35),0)</f>
        <v>0</v>
      </c>
      <c r="K84" s="109">
        <f t="array" ref="K84">IF(AND(VALUE(SUBSTITUTE(K$51,"M",""))-IF($F35="",0,$F35)&gt;=1,VALUE(SUBSTITUTE(K$51,"M",""))-IF($F35="",0,$F35)&lt;=18),INDEX('MVP &amp; lab hardware BOM'!$D$18:$U$18,1,VALUE(SUBSTITUTE(K$51,"M",""))-IF($F35="",0,$F35))*IF($C35=0,0,$E35/$C35),0)</f>
        <v>0</v>
      </c>
      <c r="L84" s="109">
        <f t="array" ref="L84">IF(AND(VALUE(SUBSTITUTE(L$51,"M",""))-IF($F35="",0,$F35)&gt;=1,VALUE(SUBSTITUTE(L$51,"M",""))-IF($F35="",0,$F35)&lt;=18),INDEX('MVP &amp; lab hardware BOM'!$D$18:$U$18,1,VALUE(SUBSTITUTE(L$51,"M",""))-IF($F35="",0,$F35))*IF($C35=0,0,$E35/$C35),0)</f>
        <v>0</v>
      </c>
      <c r="M84" s="109">
        <f t="array" ref="M84">IF(AND(VALUE(SUBSTITUTE(M$51,"M",""))-IF($F35="",0,$F35)&gt;=1,VALUE(SUBSTITUTE(M$51,"M",""))-IF($F35="",0,$F35)&lt;=18),INDEX('MVP &amp; lab hardware BOM'!$D$18:$U$18,1,VALUE(SUBSTITUTE(M$51,"M",""))-IF($F35="",0,$F35))*IF($C35=0,0,$E35/$C35),0)</f>
        <v>0</v>
      </c>
      <c r="N84" s="109">
        <f t="array" ref="N84">IF(AND(VALUE(SUBSTITUTE(N$51,"M",""))-IF($F35="",0,$F35)&gt;=1,VALUE(SUBSTITUTE(N$51,"M",""))-IF($F35="",0,$F35)&lt;=18),INDEX('MVP &amp; lab hardware BOM'!$D$18:$U$18,1,VALUE(SUBSTITUTE(N$51,"M",""))-IF($F35="",0,$F35))*IF($C35=0,0,$E35/$C35),0)</f>
        <v>290</v>
      </c>
      <c r="O84" s="109">
        <f t="array" ref="O84">IF(AND(VALUE(SUBSTITUTE(O$51,"M",""))-IF($F35="",0,$F35)&gt;=1,VALUE(SUBSTITUTE(O$51,"M",""))-IF($F35="",0,$F35)&lt;=18),INDEX('MVP &amp; lab hardware BOM'!$D$18:$U$18,1,VALUE(SUBSTITUTE(O$51,"M",""))-IF($F35="",0,$F35))*IF($C35=0,0,$E35/$C35),0)</f>
        <v>0</v>
      </c>
      <c r="P84" s="109">
        <f t="array" ref="P84">IF(AND(VALUE(SUBSTITUTE(P$51,"M",""))-IF($F35="",0,$F35)&gt;=1,VALUE(SUBSTITUTE(P$51,"M",""))-IF($F35="",0,$F35)&lt;=18),INDEX('MVP &amp; lab hardware BOM'!$D$18:$U$18,1,VALUE(SUBSTITUTE(P$51,"M",""))-IF($F35="",0,$F35))*IF($C35=0,0,$E35/$C35),0)</f>
        <v>0</v>
      </c>
      <c r="Q84" s="109">
        <f t="array" ref="Q84">IF(AND(VALUE(SUBSTITUTE(Q$51,"M",""))-IF($F35="",0,$F35)&gt;=1,VALUE(SUBSTITUTE(Q$51,"M",""))-IF($F35="",0,$F35)&lt;=18),INDEX('MVP &amp; lab hardware BOM'!$D$18:$U$18,1,VALUE(SUBSTITUTE(Q$51,"M",""))-IF($F35="",0,$F35))*IF($C35=0,0,$E35/$C35),0)</f>
        <v>0</v>
      </c>
      <c r="R84" s="109">
        <f t="array" ref="R84">IF(AND(VALUE(SUBSTITUTE(R$51,"M",""))-IF($F35="",0,$F35)&gt;=1,VALUE(SUBSTITUTE(R$51,"M",""))-IF($F35="",0,$F35)&lt;=18),INDEX('MVP &amp; lab hardware BOM'!$D$18:$U$18,1,VALUE(SUBSTITUTE(R$51,"M",""))-IF($F35="",0,$F35))*IF($C35=0,0,$E35/$C35),0)</f>
        <v>0</v>
      </c>
      <c r="S84" s="109">
        <f t="array" ref="S84">IF(AND(VALUE(SUBSTITUTE(S$51,"M",""))-IF($F35="",0,$F35)&gt;=1,VALUE(SUBSTITUTE(S$51,"M",""))-IF($F35="",0,$F35)&lt;=18),INDEX('MVP &amp; lab hardware BOM'!$D$18:$U$18,1,VALUE(SUBSTITUTE(S$51,"M",""))-IF($F35="",0,$F35))*IF($C35=0,0,$E35/$C35),0)</f>
        <v>0</v>
      </c>
      <c r="T84" s="109">
        <f t="array" ref="T84">IF(AND(VALUE(SUBSTITUTE(T$51,"M",""))-IF($F35="",0,$F35)&gt;=1,VALUE(SUBSTITUTE(T$51,"M",""))-IF($F35="",0,$F35)&lt;=18),INDEX('MVP &amp; lab hardware BOM'!$D$18:$U$18,1,VALUE(SUBSTITUTE(T$51,"M",""))-IF($F35="",0,$F35))*IF($C35=0,0,$E35/$C35),0)</f>
        <v>0</v>
      </c>
      <c r="U84" s="109">
        <f t="shared" ref="U84:U90" si="34">SUM(C84:T84)</f>
        <v>27379</v>
      </c>
    </row>
    <row r="85" hidden="1" outlineLevel="1">
      <c r="A85" s="1011" t="s">
        <v>323</v>
      </c>
      <c r="B85" s="1011">
        <v>0.0</v>
      </c>
      <c r="C85" s="109">
        <f t="array" ref="C85">IF(AND(VALUE(SUBSTITUTE(C$51,"M",""))-IF($F36="",0,$F36)&gt;=1,VALUE(SUBSTITUTE(C$51,"M",""))-IF($F36="",0,$F36)&lt;=18),INDEX('MVP &amp; lab hardware BOM'!$D$24:$U$24,1,VALUE(SUBSTITUTE(C$51,"M",""))-IF($F36="",0,$F36))*IF($C36=0,0,$E36/$C36),0)</f>
        <v>1300</v>
      </c>
      <c r="D85" s="109">
        <f t="array" ref="D85">IF(AND(VALUE(SUBSTITUTE(D$51,"M",""))-IF($F36="",0,$F36)&gt;=1,VALUE(SUBSTITUTE(D$51,"M",""))-IF($F36="",0,$F36)&lt;=18),INDEX('MVP &amp; lab hardware BOM'!$D$24:$U$24,1,VALUE(SUBSTITUTE(D$51,"M",""))-IF($F36="",0,$F36))*IF($C36=0,0,$E36/$C36),0)</f>
        <v>0</v>
      </c>
      <c r="E85" s="109">
        <f t="array" ref="E85">IF(AND(VALUE(SUBSTITUTE(E$51,"M",""))-IF($F36="",0,$F36)&gt;=1,VALUE(SUBSTITUTE(E$51,"M",""))-IF($F36="",0,$F36)&lt;=18),INDEX('MVP &amp; lab hardware BOM'!$D$24:$U$24,1,VALUE(SUBSTITUTE(E$51,"M",""))-IF($F36="",0,$F36))*IF($C36=0,0,$E36/$C36),0)</f>
        <v>0</v>
      </c>
      <c r="F85" s="109">
        <f t="array" ref="F85">IF(AND(VALUE(SUBSTITUTE(F$51,"M",""))-IF($F36="",0,$F36)&gt;=1,VALUE(SUBSTITUTE(F$51,"M",""))-IF($F36="",0,$F36)&lt;=18),INDEX('MVP &amp; lab hardware BOM'!$D$24:$U$24,1,VALUE(SUBSTITUTE(F$51,"M",""))-IF($F36="",0,$F36))*IF($C36=0,0,$E36/$C36),0)</f>
        <v>0</v>
      </c>
      <c r="G85" s="109">
        <f t="array" ref="G85">IF(AND(VALUE(SUBSTITUTE(G$51,"M",""))-IF($F36="",0,$F36)&gt;=1,VALUE(SUBSTITUTE(G$51,"M",""))-IF($F36="",0,$F36)&lt;=18),INDEX('MVP &amp; lab hardware BOM'!$D$24:$U$24,1,VALUE(SUBSTITUTE(G$51,"M",""))-IF($F36="",0,$F36))*IF($C36=0,0,$E36/$C36),0)</f>
        <v>0</v>
      </c>
      <c r="H85" s="109">
        <f t="array" ref="H85">IF(AND(VALUE(SUBSTITUTE(H$51,"M",""))-IF($F36="",0,$F36)&gt;=1,VALUE(SUBSTITUTE(H$51,"M",""))-IF($F36="",0,$F36)&lt;=18),INDEX('MVP &amp; lab hardware BOM'!$D$24:$U$24,1,VALUE(SUBSTITUTE(H$51,"M",""))-IF($F36="",0,$F36))*IF($C36=0,0,$E36/$C36),0)</f>
        <v>0</v>
      </c>
      <c r="I85" s="109">
        <f t="array" ref="I85">IF(AND(VALUE(SUBSTITUTE(I$51,"M",""))-IF($F36="",0,$F36)&gt;=1,VALUE(SUBSTITUTE(I$51,"M",""))-IF($F36="",0,$F36)&lt;=18),INDEX('MVP &amp; lab hardware BOM'!$D$24:$U$24,1,VALUE(SUBSTITUTE(I$51,"M",""))-IF($F36="",0,$F36))*IF($C36=0,0,$E36/$C36),0)</f>
        <v>0</v>
      </c>
      <c r="J85" s="109">
        <f t="array" ref="J85">IF(AND(VALUE(SUBSTITUTE(J$51,"M",""))-IF($F36="",0,$F36)&gt;=1,VALUE(SUBSTITUTE(J$51,"M",""))-IF($F36="",0,$F36)&lt;=18),INDEX('MVP &amp; lab hardware BOM'!$D$24:$U$24,1,VALUE(SUBSTITUTE(J$51,"M",""))-IF($F36="",0,$F36))*IF($C36=0,0,$E36/$C36),0)</f>
        <v>0</v>
      </c>
      <c r="K85" s="109">
        <f t="array" ref="K85">IF(AND(VALUE(SUBSTITUTE(K$51,"M",""))-IF($F36="",0,$F36)&gt;=1,VALUE(SUBSTITUTE(K$51,"M",""))-IF($F36="",0,$F36)&lt;=18),INDEX('MVP &amp; lab hardware BOM'!$D$24:$U$24,1,VALUE(SUBSTITUTE(K$51,"M",""))-IF($F36="",0,$F36))*IF($C36=0,0,$E36/$C36),0)</f>
        <v>0</v>
      </c>
      <c r="L85" s="109">
        <f t="array" ref="L85">IF(AND(VALUE(SUBSTITUTE(L$51,"M",""))-IF($F36="",0,$F36)&gt;=1,VALUE(SUBSTITUTE(L$51,"M",""))-IF($F36="",0,$F36)&lt;=18),INDEX('MVP &amp; lab hardware BOM'!$D$24:$U$24,1,VALUE(SUBSTITUTE(L$51,"M",""))-IF($F36="",0,$F36))*IF($C36=0,0,$E36/$C36),0)</f>
        <v>0</v>
      </c>
      <c r="M85" s="109">
        <f t="array" ref="M85">IF(AND(VALUE(SUBSTITUTE(M$51,"M",""))-IF($F36="",0,$F36)&gt;=1,VALUE(SUBSTITUTE(M$51,"M",""))-IF($F36="",0,$F36)&lt;=18),INDEX('MVP &amp; lab hardware BOM'!$D$24:$U$24,1,VALUE(SUBSTITUTE(M$51,"M",""))-IF($F36="",0,$F36))*IF($C36=0,0,$E36/$C36),0)</f>
        <v>0</v>
      </c>
      <c r="N85" s="109">
        <f t="array" ref="N85">IF(AND(VALUE(SUBSTITUTE(N$51,"M",""))-IF($F36="",0,$F36)&gt;=1,VALUE(SUBSTITUTE(N$51,"M",""))-IF($F36="",0,$F36)&lt;=18),INDEX('MVP &amp; lab hardware BOM'!$D$24:$U$24,1,VALUE(SUBSTITUTE(N$51,"M",""))-IF($F36="",0,$F36))*IF($C36=0,0,$E36/$C36),0)</f>
        <v>0</v>
      </c>
      <c r="O85" s="109">
        <f t="array" ref="O85">IF(AND(VALUE(SUBSTITUTE(O$51,"M",""))-IF($F36="",0,$F36)&gt;=1,VALUE(SUBSTITUTE(O$51,"M",""))-IF($F36="",0,$F36)&lt;=18),INDEX('MVP &amp; lab hardware BOM'!$D$24:$U$24,1,VALUE(SUBSTITUTE(O$51,"M",""))-IF($F36="",0,$F36))*IF($C36=0,0,$E36/$C36),0)</f>
        <v>0</v>
      </c>
      <c r="P85" s="109">
        <f t="array" ref="P85">IF(AND(VALUE(SUBSTITUTE(P$51,"M",""))-IF($F36="",0,$F36)&gt;=1,VALUE(SUBSTITUTE(P$51,"M",""))-IF($F36="",0,$F36)&lt;=18),INDEX('MVP &amp; lab hardware BOM'!$D$24:$U$24,1,VALUE(SUBSTITUTE(P$51,"M",""))-IF($F36="",0,$F36))*IF($C36=0,0,$E36/$C36),0)</f>
        <v>0</v>
      </c>
      <c r="Q85" s="109">
        <f t="array" ref="Q85">IF(AND(VALUE(SUBSTITUTE(Q$51,"M",""))-IF($F36="",0,$F36)&gt;=1,VALUE(SUBSTITUTE(Q$51,"M",""))-IF($F36="",0,$F36)&lt;=18),INDEX('MVP &amp; lab hardware BOM'!$D$24:$U$24,1,VALUE(SUBSTITUTE(Q$51,"M",""))-IF($F36="",0,$F36))*IF($C36=0,0,$E36/$C36),0)</f>
        <v>0</v>
      </c>
      <c r="R85" s="109">
        <f t="array" ref="R85">IF(AND(VALUE(SUBSTITUTE(R$51,"M",""))-IF($F36="",0,$F36)&gt;=1,VALUE(SUBSTITUTE(R$51,"M",""))-IF($F36="",0,$F36)&lt;=18),INDEX('MVP &amp; lab hardware BOM'!$D$24:$U$24,1,VALUE(SUBSTITUTE(R$51,"M",""))-IF($F36="",0,$F36))*IF($C36=0,0,$E36/$C36),0)</f>
        <v>0</v>
      </c>
      <c r="S85" s="109">
        <f t="array" ref="S85">IF(AND(VALUE(SUBSTITUTE(S$51,"M",""))-IF($F36="",0,$F36)&gt;=1,VALUE(SUBSTITUTE(S$51,"M",""))-IF($F36="",0,$F36)&lt;=18),INDEX('MVP &amp; lab hardware BOM'!$D$24:$U$24,1,VALUE(SUBSTITUTE(S$51,"M",""))-IF($F36="",0,$F36))*IF($C36=0,0,$E36/$C36),0)</f>
        <v>0</v>
      </c>
      <c r="T85" s="109">
        <f t="array" ref="T85">IF(AND(VALUE(SUBSTITUTE(T$51,"M",""))-IF($F36="",0,$F36)&gt;=1,VALUE(SUBSTITUTE(T$51,"M",""))-IF($F36="",0,$F36)&lt;=18),INDEX('MVP &amp; lab hardware BOM'!$D$24:$U$24,1,VALUE(SUBSTITUTE(T$51,"M",""))-IF($F36="",0,$F36))*IF($C36=0,0,$E36/$C36),0)</f>
        <v>0</v>
      </c>
      <c r="U85" s="109">
        <f t="shared" si="34"/>
        <v>1300</v>
      </c>
    </row>
    <row r="86" hidden="1" outlineLevel="1">
      <c r="A86" s="1011" t="s">
        <v>373</v>
      </c>
      <c r="B86" s="1011">
        <v>0.0</v>
      </c>
      <c r="C86" s="109">
        <f t="array" ref="C86">IF(AND(VALUE(SUBSTITUTE(C$51,"M",""))-IF($F37="",0,$F37)&gt;=1,VALUE(SUBSTITUTE(C$51,"M",""))-IF($F37="",0,$F37)&lt;=18),INDEX('MVP &amp; lab hardware BOM'!$D$40:$U$40,1,VALUE(SUBSTITUTE(C$51,"M",""))-IF($F37="",0,$F37))*IF($C37=0,0,$E37/$C37),0)</f>
        <v>9880</v>
      </c>
      <c r="D86" s="109">
        <f t="array" ref="D86">IF(AND(VALUE(SUBSTITUTE(D$51,"M",""))-IF($F37="",0,$F37)&gt;=1,VALUE(SUBSTITUTE(D$51,"M",""))-IF($F37="",0,$F37)&lt;=18),INDEX('MVP &amp; lab hardware BOM'!$D$40:$U$40,1,VALUE(SUBSTITUTE(D$51,"M",""))-IF($F37="",0,$F37))*IF($C37=0,0,$E37/$C37),0)</f>
        <v>0</v>
      </c>
      <c r="E86" s="109">
        <f t="array" ref="E86">IF(AND(VALUE(SUBSTITUTE(E$51,"M",""))-IF($F37="",0,$F37)&gt;=1,VALUE(SUBSTITUTE(E$51,"M",""))-IF($F37="",0,$F37)&lt;=18),INDEX('MVP &amp; lab hardware BOM'!$D$40:$U$40,1,VALUE(SUBSTITUTE(E$51,"M",""))-IF($F37="",0,$F37))*IF($C37=0,0,$E37/$C37),0)</f>
        <v>0</v>
      </c>
      <c r="F86" s="109">
        <f t="array" ref="F86">IF(AND(VALUE(SUBSTITUTE(F$51,"M",""))-IF($F37="",0,$F37)&gt;=1,VALUE(SUBSTITUTE(F$51,"M",""))-IF($F37="",0,$F37)&lt;=18),INDEX('MVP &amp; lab hardware BOM'!$D$40:$U$40,1,VALUE(SUBSTITUTE(F$51,"M",""))-IF($F37="",0,$F37))*IF($C37=0,0,$E37/$C37),0)</f>
        <v>0</v>
      </c>
      <c r="G86" s="109">
        <f t="array" ref="G86">IF(AND(VALUE(SUBSTITUTE(G$51,"M",""))-IF($F37="",0,$F37)&gt;=1,VALUE(SUBSTITUTE(G$51,"M",""))-IF($F37="",0,$F37)&lt;=18),INDEX('MVP &amp; lab hardware BOM'!$D$40:$U$40,1,VALUE(SUBSTITUTE(G$51,"M",""))-IF($F37="",0,$F37))*IF($C37=0,0,$E37/$C37),0)</f>
        <v>0</v>
      </c>
      <c r="H86" s="109">
        <f t="array" ref="H86">IF(AND(VALUE(SUBSTITUTE(H$51,"M",""))-IF($F37="",0,$F37)&gt;=1,VALUE(SUBSTITUTE(H$51,"M",""))-IF($F37="",0,$F37)&lt;=18),INDEX('MVP &amp; lab hardware BOM'!$D$40:$U$40,1,VALUE(SUBSTITUTE(H$51,"M",""))-IF($F37="",0,$F37))*IF($C37=0,0,$E37/$C37),0)</f>
        <v>0</v>
      </c>
      <c r="I86" s="109">
        <f t="array" ref="I86">IF(AND(VALUE(SUBSTITUTE(I$51,"M",""))-IF($F37="",0,$F37)&gt;=1,VALUE(SUBSTITUTE(I$51,"M",""))-IF($F37="",0,$F37)&lt;=18),INDEX('MVP &amp; lab hardware BOM'!$D$40:$U$40,1,VALUE(SUBSTITUTE(I$51,"M",""))-IF($F37="",0,$F37))*IF($C37=0,0,$E37/$C37),0)</f>
        <v>0</v>
      </c>
      <c r="J86" s="109">
        <f t="array" ref="J86">IF(AND(VALUE(SUBSTITUTE(J$51,"M",""))-IF($F37="",0,$F37)&gt;=1,VALUE(SUBSTITUTE(J$51,"M",""))-IF($F37="",0,$F37)&lt;=18),INDEX('MVP &amp; lab hardware BOM'!$D$40:$U$40,1,VALUE(SUBSTITUTE(J$51,"M",""))-IF($F37="",0,$F37))*IF($C37=0,0,$E37/$C37),0)</f>
        <v>0</v>
      </c>
      <c r="K86" s="109">
        <f t="array" ref="K86">IF(AND(VALUE(SUBSTITUTE(K$51,"M",""))-IF($F37="",0,$F37)&gt;=1,VALUE(SUBSTITUTE(K$51,"M",""))-IF($F37="",0,$F37)&lt;=18),INDEX('MVP &amp; lab hardware BOM'!$D$40:$U$40,1,VALUE(SUBSTITUTE(K$51,"M",""))-IF($F37="",0,$F37))*IF($C37=0,0,$E37/$C37),0)</f>
        <v>0</v>
      </c>
      <c r="L86" s="109">
        <f t="array" ref="L86">IF(AND(VALUE(SUBSTITUTE(L$51,"M",""))-IF($F37="",0,$F37)&gt;=1,VALUE(SUBSTITUTE(L$51,"M",""))-IF($F37="",0,$F37)&lt;=18),INDEX('MVP &amp; lab hardware BOM'!$D$40:$U$40,1,VALUE(SUBSTITUTE(L$51,"M",""))-IF($F37="",0,$F37))*IF($C37=0,0,$E37/$C37),0)</f>
        <v>0</v>
      </c>
      <c r="M86" s="109">
        <f t="array" ref="M86">IF(AND(VALUE(SUBSTITUTE(M$51,"M",""))-IF($F37="",0,$F37)&gt;=1,VALUE(SUBSTITUTE(M$51,"M",""))-IF($F37="",0,$F37)&lt;=18),INDEX('MVP &amp; lab hardware BOM'!$D$40:$U$40,1,VALUE(SUBSTITUTE(M$51,"M",""))-IF($F37="",0,$F37))*IF($C37=0,0,$E37/$C37),0)</f>
        <v>0</v>
      </c>
      <c r="N86" s="109">
        <f t="array" ref="N86">IF(AND(VALUE(SUBSTITUTE(N$51,"M",""))-IF($F37="",0,$F37)&gt;=1,VALUE(SUBSTITUTE(N$51,"M",""))-IF($F37="",0,$F37)&lt;=18),INDEX('MVP &amp; lab hardware BOM'!$D$40:$U$40,1,VALUE(SUBSTITUTE(N$51,"M",""))-IF($F37="",0,$F37))*IF($C37=0,0,$E37/$C37),0)</f>
        <v>0</v>
      </c>
      <c r="O86" s="109">
        <f t="array" ref="O86">IF(AND(VALUE(SUBSTITUTE(O$51,"M",""))-IF($F37="",0,$F37)&gt;=1,VALUE(SUBSTITUTE(O$51,"M",""))-IF($F37="",0,$F37)&lt;=18),INDEX('MVP &amp; lab hardware BOM'!$D$40:$U$40,1,VALUE(SUBSTITUTE(O$51,"M",""))-IF($F37="",0,$F37))*IF($C37=0,0,$E37/$C37),0)</f>
        <v>0</v>
      </c>
      <c r="P86" s="109">
        <f t="array" ref="P86">IF(AND(VALUE(SUBSTITUTE(P$51,"M",""))-IF($F37="",0,$F37)&gt;=1,VALUE(SUBSTITUTE(P$51,"M",""))-IF($F37="",0,$F37)&lt;=18),INDEX('MVP &amp; lab hardware BOM'!$D$40:$U$40,1,VALUE(SUBSTITUTE(P$51,"M",""))-IF($F37="",0,$F37))*IF($C37=0,0,$E37/$C37),0)</f>
        <v>0</v>
      </c>
      <c r="Q86" s="109">
        <f t="array" ref="Q86">IF(AND(VALUE(SUBSTITUTE(Q$51,"M",""))-IF($F37="",0,$F37)&gt;=1,VALUE(SUBSTITUTE(Q$51,"M",""))-IF($F37="",0,$F37)&lt;=18),INDEX('MVP &amp; lab hardware BOM'!$D$40:$U$40,1,VALUE(SUBSTITUTE(Q$51,"M",""))-IF($F37="",0,$F37))*IF($C37=0,0,$E37/$C37),0)</f>
        <v>0</v>
      </c>
      <c r="R86" s="109">
        <f t="array" ref="R86">IF(AND(VALUE(SUBSTITUTE(R$51,"M",""))-IF($F37="",0,$F37)&gt;=1,VALUE(SUBSTITUTE(R$51,"M",""))-IF($F37="",0,$F37)&lt;=18),INDEX('MVP &amp; lab hardware BOM'!$D$40:$U$40,1,VALUE(SUBSTITUTE(R$51,"M",""))-IF($F37="",0,$F37))*IF($C37=0,0,$E37/$C37),0)</f>
        <v>0</v>
      </c>
      <c r="S86" s="109">
        <f t="array" ref="S86">IF(AND(VALUE(SUBSTITUTE(S$51,"M",""))-IF($F37="",0,$F37)&gt;=1,VALUE(SUBSTITUTE(S$51,"M",""))-IF($F37="",0,$F37)&lt;=18),INDEX('MVP &amp; lab hardware BOM'!$D$40:$U$40,1,VALUE(SUBSTITUTE(S$51,"M",""))-IF($F37="",0,$F37))*IF($C37=0,0,$E37/$C37),0)</f>
        <v>0</v>
      </c>
      <c r="T86" s="109">
        <f t="array" ref="T86">IF(AND(VALUE(SUBSTITUTE(T$51,"M",""))-IF($F37="",0,$F37)&gt;=1,VALUE(SUBSTITUTE(T$51,"M",""))-IF($F37="",0,$F37)&lt;=18),INDEX('MVP &amp; lab hardware BOM'!$D$40:$U$40,1,VALUE(SUBSTITUTE(T$51,"M",""))-IF($F37="",0,$F37))*IF($C37=0,0,$E37/$C37),0)</f>
        <v>0</v>
      </c>
      <c r="U86" s="109">
        <f t="shared" si="34"/>
        <v>9880</v>
      </c>
    </row>
    <row r="87" hidden="1" outlineLevel="1">
      <c r="A87" s="1011" t="s">
        <v>471</v>
      </c>
      <c r="B87" s="1011">
        <v>0.0</v>
      </c>
      <c r="C87" s="109">
        <f t="array" ref="C87">IF(AND(VALUE(SUBSTITUTE(C$51,"M",""))-IF($F38="",0,$F38)&gt;=1,VALUE(SUBSTITUTE(C$51,"M",""))-IF($F38="",0,$F38)&lt;=18),INDEX('MVP &amp; lab hardware BOM'!$D$53:$U$53,1,VALUE(SUBSTITUTE(C$51,"M",""))-IF($F38="",0,$F38))*IF($C38=0,0,$E38/$C38),0)</f>
        <v>0</v>
      </c>
      <c r="D87" s="109">
        <f t="array" ref="D87">IF(AND(VALUE(SUBSTITUTE(D$51,"M",""))-IF($F38="",0,$F38)&gt;=1,VALUE(SUBSTITUTE(D$51,"M",""))-IF($F38="",0,$F38)&lt;=18),INDEX('MVP &amp; lab hardware BOM'!$D$53:$U$53,1,VALUE(SUBSTITUTE(D$51,"M",""))-IF($F38="",0,$F38))*IF($C38=0,0,$E38/$C38),0)</f>
        <v>0</v>
      </c>
      <c r="E87" s="109">
        <f t="array" ref="E87">IF(AND(VALUE(SUBSTITUTE(E$51,"M",""))-IF($F38="",0,$F38)&gt;=1,VALUE(SUBSTITUTE(E$51,"M",""))-IF($F38="",0,$F38)&lt;=18),INDEX('MVP &amp; lab hardware BOM'!$D$53:$U$53,1,VALUE(SUBSTITUTE(E$51,"M",""))-IF($F38="",0,$F38))*IF($C38=0,0,$E38/$C38),0)</f>
        <v>0</v>
      </c>
      <c r="F87" s="109">
        <f t="array" ref="F87">IF(AND(VALUE(SUBSTITUTE(F$51,"M",""))-IF($F38="",0,$F38)&gt;=1,VALUE(SUBSTITUTE(F$51,"M",""))-IF($F38="",0,$F38)&lt;=18),INDEX('MVP &amp; lab hardware BOM'!$D$53:$U$53,1,VALUE(SUBSTITUTE(F$51,"M",""))-IF($F38="",0,$F38))*IF($C38=0,0,$E38/$C38),0)</f>
        <v>5239</v>
      </c>
      <c r="G87" s="109">
        <f t="array" ref="G87">IF(AND(VALUE(SUBSTITUTE(G$51,"M",""))-IF($F38="",0,$F38)&gt;=1,VALUE(SUBSTITUTE(G$51,"M",""))-IF($F38="",0,$F38)&lt;=18),INDEX('MVP &amp; lab hardware BOM'!$D$53:$U$53,1,VALUE(SUBSTITUTE(G$51,"M",""))-IF($F38="",0,$F38))*IF($C38=0,0,$E38/$C38),0)</f>
        <v>0</v>
      </c>
      <c r="H87" s="109">
        <f t="array" ref="H87">IF(AND(VALUE(SUBSTITUTE(H$51,"M",""))-IF($F38="",0,$F38)&gt;=1,VALUE(SUBSTITUTE(H$51,"M",""))-IF($F38="",0,$F38)&lt;=18),INDEX('MVP &amp; lab hardware BOM'!$D$53:$U$53,1,VALUE(SUBSTITUTE(H$51,"M",""))-IF($F38="",0,$F38))*IF($C38=0,0,$E38/$C38),0)</f>
        <v>0</v>
      </c>
      <c r="I87" s="109">
        <f t="array" ref="I87">IF(AND(VALUE(SUBSTITUTE(I$51,"M",""))-IF($F38="",0,$F38)&gt;=1,VALUE(SUBSTITUTE(I$51,"M",""))-IF($F38="",0,$F38)&lt;=18),INDEX('MVP &amp; lab hardware BOM'!$D$53:$U$53,1,VALUE(SUBSTITUTE(I$51,"M",""))-IF($F38="",0,$F38))*IF($C38=0,0,$E38/$C38),0)</f>
        <v>0</v>
      </c>
      <c r="J87" s="109">
        <f t="array" ref="J87">IF(AND(VALUE(SUBSTITUTE(J$51,"M",""))-IF($F38="",0,$F38)&gt;=1,VALUE(SUBSTITUTE(J$51,"M",""))-IF($F38="",0,$F38)&lt;=18),INDEX('MVP &amp; lab hardware BOM'!$D$53:$U$53,1,VALUE(SUBSTITUTE(J$51,"M",""))-IF($F38="",0,$F38))*IF($C38=0,0,$E38/$C38),0)</f>
        <v>0</v>
      </c>
      <c r="K87" s="109">
        <f t="array" ref="K87">IF(AND(VALUE(SUBSTITUTE(K$51,"M",""))-IF($F38="",0,$F38)&gt;=1,VALUE(SUBSTITUTE(K$51,"M",""))-IF($F38="",0,$F38)&lt;=18),INDEX('MVP &amp; lab hardware BOM'!$D$53:$U$53,1,VALUE(SUBSTITUTE(K$51,"M",""))-IF($F38="",0,$F38))*IF($C38=0,0,$E38/$C38),0)</f>
        <v>0</v>
      </c>
      <c r="L87" s="109">
        <f t="array" ref="L87">IF(AND(VALUE(SUBSTITUTE(L$51,"M",""))-IF($F38="",0,$F38)&gt;=1,VALUE(SUBSTITUTE(L$51,"M",""))-IF($F38="",0,$F38)&lt;=18),INDEX('MVP &amp; lab hardware BOM'!$D$53:$U$53,1,VALUE(SUBSTITUTE(L$51,"M",""))-IF($F38="",0,$F38))*IF($C38=0,0,$E38/$C38),0)</f>
        <v>0</v>
      </c>
      <c r="M87" s="109">
        <f t="array" ref="M87">IF(AND(VALUE(SUBSTITUTE(M$51,"M",""))-IF($F38="",0,$F38)&gt;=1,VALUE(SUBSTITUTE(M$51,"M",""))-IF($F38="",0,$F38)&lt;=18),INDEX('MVP &amp; lab hardware BOM'!$D$53:$U$53,1,VALUE(SUBSTITUTE(M$51,"M",""))-IF($F38="",0,$F38))*IF($C38=0,0,$E38/$C38),0)</f>
        <v>0</v>
      </c>
      <c r="N87" s="109">
        <f t="array" ref="N87">IF(AND(VALUE(SUBSTITUTE(N$51,"M",""))-IF($F38="",0,$F38)&gt;=1,VALUE(SUBSTITUTE(N$51,"M",""))-IF($F38="",0,$F38)&lt;=18),INDEX('MVP &amp; lab hardware BOM'!$D$53:$U$53,1,VALUE(SUBSTITUTE(N$51,"M",""))-IF($F38="",0,$F38))*IF($C38=0,0,$E38/$C38),0)</f>
        <v>0</v>
      </c>
      <c r="O87" s="109">
        <f t="array" ref="O87">IF(AND(VALUE(SUBSTITUTE(O$51,"M",""))-IF($F38="",0,$F38)&gt;=1,VALUE(SUBSTITUTE(O$51,"M",""))-IF($F38="",0,$F38)&lt;=18),INDEX('MVP &amp; lab hardware BOM'!$D$53:$U$53,1,VALUE(SUBSTITUTE(O$51,"M",""))-IF($F38="",0,$F38))*IF($C38=0,0,$E38/$C38),0)</f>
        <v>6299</v>
      </c>
      <c r="P87" s="109">
        <f t="array" ref="P87">IF(AND(VALUE(SUBSTITUTE(P$51,"M",""))-IF($F38="",0,$F38)&gt;=1,VALUE(SUBSTITUTE(P$51,"M",""))-IF($F38="",0,$F38)&lt;=18),INDEX('MVP &amp; lab hardware BOM'!$D$53:$U$53,1,VALUE(SUBSTITUTE(P$51,"M",""))-IF($F38="",0,$F38))*IF($C38=0,0,$E38/$C38),0)</f>
        <v>0</v>
      </c>
      <c r="Q87" s="109">
        <f t="array" ref="Q87">IF(AND(VALUE(SUBSTITUTE(Q$51,"M",""))-IF($F38="",0,$F38)&gt;=1,VALUE(SUBSTITUTE(Q$51,"M",""))-IF($F38="",0,$F38)&lt;=18),INDEX('MVP &amp; lab hardware BOM'!$D$53:$U$53,1,VALUE(SUBSTITUTE(Q$51,"M",""))-IF($F38="",0,$F38))*IF($C38=0,0,$E38/$C38),0)</f>
        <v>0</v>
      </c>
      <c r="R87" s="109">
        <f t="array" ref="R87">IF(AND(VALUE(SUBSTITUTE(R$51,"M",""))-IF($F38="",0,$F38)&gt;=1,VALUE(SUBSTITUTE(R$51,"M",""))-IF($F38="",0,$F38)&lt;=18),INDEX('MVP &amp; lab hardware BOM'!$D$53:$U$53,1,VALUE(SUBSTITUTE(R$51,"M",""))-IF($F38="",0,$F38))*IF($C38=0,0,$E38/$C38),0)</f>
        <v>0</v>
      </c>
      <c r="S87" s="109">
        <f t="array" ref="S87">IF(AND(VALUE(SUBSTITUTE(S$51,"M",""))-IF($F38="",0,$F38)&gt;=1,VALUE(SUBSTITUTE(S$51,"M",""))-IF($F38="",0,$F38)&lt;=18),INDEX('MVP &amp; lab hardware BOM'!$D$53:$U$53,1,VALUE(SUBSTITUTE(S$51,"M",""))-IF($F38="",0,$F38))*IF($C38=0,0,$E38/$C38),0)</f>
        <v>0</v>
      </c>
      <c r="T87" s="109">
        <f t="array" ref="T87">IF(AND(VALUE(SUBSTITUTE(T$51,"M",""))-IF($F38="",0,$F38)&gt;=1,VALUE(SUBSTITUTE(T$51,"M",""))-IF($F38="",0,$F38)&lt;=18),INDEX('MVP &amp; lab hardware BOM'!$D$53:$U$53,1,VALUE(SUBSTITUTE(T$51,"M",""))-IF($F38="",0,$F38))*IF($C38=0,0,$E38/$C38),0)</f>
        <v>0</v>
      </c>
      <c r="U87" s="109">
        <f t="shared" si="34"/>
        <v>11538</v>
      </c>
    </row>
    <row r="88" hidden="1" outlineLevel="1">
      <c r="A88" s="1011" t="s">
        <v>568</v>
      </c>
      <c r="B88" s="1011">
        <v>0.0</v>
      </c>
      <c r="C88" s="109">
        <f t="array" ref="C88">IF(AND(VALUE(SUBSTITUTE(C$51,"M",""))-IF($F39="",0,$F39)&gt;=1,VALUE(SUBSTITUTE(C$51,"M",""))-IF($F39="",0,$F39)&lt;=18),INDEX('MVP &amp; lab hardware BOM'!$D$60:$U$60,1,VALUE(SUBSTITUTE(C$51,"M",""))-IF($F39="",0,$F39))*IF($C39=0,0,$E39/$C39),0)</f>
        <v>694.44</v>
      </c>
      <c r="D88" s="109">
        <f t="array" ref="D88">IF(AND(VALUE(SUBSTITUTE(D$51,"M",""))-IF($F39="",0,$F39)&gt;=1,VALUE(SUBSTITUTE(D$51,"M",""))-IF($F39="",0,$F39)&lt;=18),INDEX('MVP &amp; lab hardware BOM'!$D$60:$U$60,1,VALUE(SUBSTITUTE(D$51,"M",""))-IF($F39="",0,$F39))*IF($C39=0,0,$E39/$C39),0)</f>
        <v>194.44</v>
      </c>
      <c r="E88" s="109">
        <f t="array" ref="E88">IF(AND(VALUE(SUBSTITUTE(E$51,"M",""))-IF($F39="",0,$F39)&gt;=1,VALUE(SUBSTITUTE(E$51,"M",""))-IF($F39="",0,$F39)&lt;=18),INDEX('MVP &amp; lab hardware BOM'!$D$60:$U$60,1,VALUE(SUBSTITUTE(E$51,"M",""))-IF($F39="",0,$F39))*IF($C39=0,0,$E39/$C39),0)</f>
        <v>194.44</v>
      </c>
      <c r="F88" s="109">
        <f t="array" ref="F88">IF(AND(VALUE(SUBSTITUTE(F$51,"M",""))-IF($F39="",0,$F39)&gt;=1,VALUE(SUBSTITUTE(F$51,"M",""))-IF($F39="",0,$F39)&lt;=18),INDEX('MVP &amp; lab hardware BOM'!$D$60:$U$60,1,VALUE(SUBSTITUTE(F$51,"M",""))-IF($F39="",0,$F39))*IF($C39=0,0,$E39/$C39),0)</f>
        <v>994.44</v>
      </c>
      <c r="G88" s="109">
        <f t="array" ref="G88">IF(AND(VALUE(SUBSTITUTE(G$51,"M",""))-IF($F39="",0,$F39)&gt;=1,VALUE(SUBSTITUTE(G$51,"M",""))-IF($F39="",0,$F39)&lt;=18),INDEX('MVP &amp; lab hardware BOM'!$D$60:$U$60,1,VALUE(SUBSTITUTE(G$51,"M",""))-IF($F39="",0,$F39))*IF($C39=0,0,$E39/$C39),0)</f>
        <v>194.44</v>
      </c>
      <c r="H88" s="109">
        <f t="array" ref="H88">IF(AND(VALUE(SUBSTITUTE(H$51,"M",""))-IF($F39="",0,$F39)&gt;=1,VALUE(SUBSTITUTE(H$51,"M",""))-IF($F39="",0,$F39)&lt;=18),INDEX('MVP &amp; lab hardware BOM'!$D$60:$U$60,1,VALUE(SUBSTITUTE(H$51,"M",""))-IF($F39="",0,$F39))*IF($C39=0,0,$E39/$C39),0)</f>
        <v>194.44</v>
      </c>
      <c r="I88" s="109">
        <f t="array" ref="I88">IF(AND(VALUE(SUBSTITUTE(I$51,"M",""))-IF($F39="",0,$F39)&gt;=1,VALUE(SUBSTITUTE(I$51,"M",""))-IF($F39="",0,$F39)&lt;=18),INDEX('MVP &amp; lab hardware BOM'!$D$60:$U$60,1,VALUE(SUBSTITUTE(I$51,"M",""))-IF($F39="",0,$F39))*IF($C39=0,0,$E39/$C39),0)</f>
        <v>194.44</v>
      </c>
      <c r="J88" s="109">
        <f t="array" ref="J88">IF(AND(VALUE(SUBSTITUTE(J$51,"M",""))-IF($F39="",0,$F39)&gt;=1,VALUE(SUBSTITUTE(J$51,"M",""))-IF($F39="",0,$F39)&lt;=18),INDEX('MVP &amp; lab hardware BOM'!$D$60:$U$60,1,VALUE(SUBSTITUTE(J$51,"M",""))-IF($F39="",0,$F39))*IF($C39=0,0,$E39/$C39),0)</f>
        <v>194.44</v>
      </c>
      <c r="K88" s="109">
        <f t="array" ref="K88">IF(AND(VALUE(SUBSTITUTE(K$51,"M",""))-IF($F39="",0,$F39)&gt;=1,VALUE(SUBSTITUTE(K$51,"M",""))-IF($F39="",0,$F39)&lt;=18),INDEX('MVP &amp; lab hardware BOM'!$D$60:$U$60,1,VALUE(SUBSTITUTE(K$51,"M",""))-IF($F39="",0,$F39))*IF($C39=0,0,$E39/$C39),0)</f>
        <v>194.44</v>
      </c>
      <c r="L88" s="109">
        <f t="array" ref="L88">IF(AND(VALUE(SUBSTITUTE(L$51,"M",""))-IF($F39="",0,$F39)&gt;=1,VALUE(SUBSTITUTE(L$51,"M",""))-IF($F39="",0,$F39)&lt;=18),INDEX('MVP &amp; lab hardware BOM'!$D$60:$U$60,1,VALUE(SUBSTITUTE(L$51,"M",""))-IF($F39="",0,$F39))*IF($C39=0,0,$E39/$C39),0)</f>
        <v>194.44</v>
      </c>
      <c r="M88" s="109">
        <f t="array" ref="M88">IF(AND(VALUE(SUBSTITUTE(M$51,"M",""))-IF($F39="",0,$F39)&gt;=1,VALUE(SUBSTITUTE(M$51,"M",""))-IF($F39="",0,$F39)&lt;=18),INDEX('MVP &amp; lab hardware BOM'!$D$60:$U$60,1,VALUE(SUBSTITUTE(M$51,"M",""))-IF($F39="",0,$F39))*IF($C39=0,0,$E39/$C39),0)</f>
        <v>194.44</v>
      </c>
      <c r="N88" s="109">
        <f t="array" ref="N88">IF(AND(VALUE(SUBSTITUTE(N$51,"M",""))-IF($F39="",0,$F39)&gt;=1,VALUE(SUBSTITUTE(N$51,"M",""))-IF($F39="",0,$F39)&lt;=18),INDEX('MVP &amp; lab hardware BOM'!$D$60:$U$60,1,VALUE(SUBSTITUTE(N$51,"M",""))-IF($F39="",0,$F39))*IF($C39=0,0,$E39/$C39),0)</f>
        <v>194.44</v>
      </c>
      <c r="O88" s="109">
        <f t="array" ref="O88">IF(AND(VALUE(SUBSTITUTE(O$51,"M",""))-IF($F39="",0,$F39)&gt;=1,VALUE(SUBSTITUTE(O$51,"M",""))-IF($F39="",0,$F39)&lt;=18),INDEX('MVP &amp; lab hardware BOM'!$D$60:$U$60,1,VALUE(SUBSTITUTE(O$51,"M",""))-IF($F39="",0,$F39))*IF($C39=0,0,$E39/$C39),0)</f>
        <v>194.44</v>
      </c>
      <c r="P88" s="109">
        <f t="array" ref="P88">IF(AND(VALUE(SUBSTITUTE(P$51,"M",""))-IF($F39="",0,$F39)&gt;=1,VALUE(SUBSTITUTE(P$51,"M",""))-IF($F39="",0,$F39)&lt;=18),INDEX('MVP &amp; lab hardware BOM'!$D$60:$U$60,1,VALUE(SUBSTITUTE(P$51,"M",""))-IF($F39="",0,$F39))*IF($C39=0,0,$E39/$C39),0)</f>
        <v>194.44</v>
      </c>
      <c r="Q88" s="109">
        <f t="array" ref="Q88">IF(AND(VALUE(SUBSTITUTE(Q$51,"M",""))-IF($F39="",0,$F39)&gt;=1,VALUE(SUBSTITUTE(Q$51,"M",""))-IF($F39="",0,$F39)&lt;=18),INDEX('MVP &amp; lab hardware BOM'!$D$60:$U$60,1,VALUE(SUBSTITUTE(Q$51,"M",""))-IF($F39="",0,$F39))*IF($C39=0,0,$E39/$C39),0)</f>
        <v>194.44</v>
      </c>
      <c r="R88" s="109">
        <f t="array" ref="R88">IF(AND(VALUE(SUBSTITUTE(R$51,"M",""))-IF($F39="",0,$F39)&gt;=1,VALUE(SUBSTITUTE(R$51,"M",""))-IF($F39="",0,$F39)&lt;=18),INDEX('MVP &amp; lab hardware BOM'!$D$60:$U$60,1,VALUE(SUBSTITUTE(R$51,"M",""))-IF($F39="",0,$F39))*IF($C39=0,0,$E39/$C39),0)</f>
        <v>194.44</v>
      </c>
      <c r="S88" s="109">
        <f t="array" ref="S88">IF(AND(VALUE(SUBSTITUTE(S$51,"M",""))-IF($F39="",0,$F39)&gt;=1,VALUE(SUBSTITUTE(S$51,"M",""))-IF($F39="",0,$F39)&lt;=18),INDEX('MVP &amp; lab hardware BOM'!$D$60:$U$60,1,VALUE(SUBSTITUTE(S$51,"M",""))-IF($F39="",0,$F39))*IF($C39=0,0,$E39/$C39),0)</f>
        <v>194.44</v>
      </c>
      <c r="T88" s="109">
        <f t="array" ref="T88">IF(AND(VALUE(SUBSTITUTE(T$51,"M",""))-IF($F39="",0,$F39)&gt;=1,VALUE(SUBSTITUTE(T$51,"M",""))-IF($F39="",0,$F39)&lt;=18),INDEX('MVP &amp; lab hardware BOM'!$D$60:$U$60,1,VALUE(SUBSTITUTE(T$51,"M",""))-IF($F39="",0,$F39))*IF($C39=0,0,$E39/$C39),0)</f>
        <v>194.52</v>
      </c>
      <c r="U88" s="109">
        <f t="shared" si="34"/>
        <v>4800</v>
      </c>
    </row>
    <row r="89" hidden="1" outlineLevel="1">
      <c r="A89" s="1011" t="s">
        <v>617</v>
      </c>
      <c r="B89" s="1011">
        <v>0.0</v>
      </c>
      <c r="C89" s="109">
        <f t="array" ref="C89">IF(AND(VALUE(SUBSTITUTE(C$51,"M",""))-IF($F40="",0,$F40)&gt;=1,VALUE(SUBSTITUTE(C$51,"M",""))-IF($F40="",0,$F40)&lt;=18),INDEX('MVP &amp; lab hardware BOM'!$D$68:$U$68,1,VALUE(SUBSTITUTE(C$51,"M",""))-IF($F40="",0,$F40))*IF($C40=0,0,$E40/$C40),0)</f>
        <v>103.14</v>
      </c>
      <c r="D89" s="109">
        <f t="array" ref="D89">IF(AND(VALUE(SUBSTITUTE(D$51,"M",""))-IF($F40="",0,$F40)&gt;=1,VALUE(SUBSTITUTE(D$51,"M",""))-IF($F40="",0,$F40)&lt;=18),INDEX('MVP &amp; lab hardware BOM'!$D$68:$U$68,1,VALUE(SUBSTITUTE(D$51,"M",""))-IF($F40="",0,$F40))*IF($C40=0,0,$E40/$C40),0)</f>
        <v>209.6</v>
      </c>
      <c r="E89" s="109">
        <f t="array" ref="E89">IF(AND(VALUE(SUBSTITUTE(E$51,"M",""))-IF($F40="",0,$F40)&gt;=1,VALUE(SUBSTITUTE(E$51,"M",""))-IF($F40="",0,$F40)&lt;=18),INDEX('MVP &amp; lab hardware BOM'!$D$68:$U$68,1,VALUE(SUBSTITUTE(E$51,"M",""))-IF($F40="",0,$F40))*IF($C40=0,0,$E40/$C40),0)</f>
        <v>254.1</v>
      </c>
      <c r="F89" s="109">
        <f t="array" ref="F89">IF(AND(VALUE(SUBSTITUTE(F$51,"M",""))-IF($F40="",0,$F40)&gt;=1,VALUE(SUBSTITUTE(F$51,"M",""))-IF($F40="",0,$F40)&lt;=18),INDEX('MVP &amp; lab hardware BOM'!$D$68:$U$68,1,VALUE(SUBSTITUTE(F$51,"M",""))-IF($F40="",0,$F40))*IF($C40=0,0,$E40/$C40),0)</f>
        <v>528.73</v>
      </c>
      <c r="G89" s="109">
        <f t="array" ref="G89">IF(AND(VALUE(SUBSTITUTE(G$51,"M",""))-IF($F40="",0,$F40)&gt;=1,VALUE(SUBSTITUTE(G$51,"M",""))-IF($F40="",0,$F40)&lt;=18),INDEX('MVP &amp; lab hardware BOM'!$D$68:$U$68,1,VALUE(SUBSTITUTE(G$51,"M",""))-IF($F40="",0,$F40))*IF($C40=0,0,$E40/$C40),0)</f>
        <v>634.01</v>
      </c>
      <c r="H89" s="109">
        <f t="array" ref="H89">IF(AND(VALUE(SUBSTITUTE(H$51,"M",""))-IF($F40="",0,$F40)&gt;=1,VALUE(SUBSTITUTE(H$51,"M",""))-IF($F40="",0,$F40)&lt;=18),INDEX('MVP &amp; lab hardware BOM'!$D$68:$U$68,1,VALUE(SUBSTITUTE(H$51,"M",""))-IF($F40="",0,$F40))*IF($C40=0,0,$E40/$C40),0)</f>
        <v>787.13</v>
      </c>
      <c r="I89" s="109">
        <f t="array" ref="I89">IF(AND(VALUE(SUBSTITUTE(I$51,"M",""))-IF($F40="",0,$F40)&gt;=1,VALUE(SUBSTITUTE(I$51,"M",""))-IF($F40="",0,$F40)&lt;=18),INDEX('MVP &amp; lab hardware BOM'!$D$68:$U$68,1,VALUE(SUBSTITUTE(I$51,"M",""))-IF($F40="",0,$F40))*IF($C40=0,0,$E40/$C40),0)</f>
        <v>866.6</v>
      </c>
      <c r="J89" s="109">
        <f t="array" ref="J89">IF(AND(VALUE(SUBSTITUTE(J$51,"M",""))-IF($F40="",0,$F40)&gt;=1,VALUE(SUBSTITUTE(J$51,"M",""))-IF($F40="",0,$F40)&lt;=18),INDEX('MVP &amp; lab hardware BOM'!$D$68:$U$68,1,VALUE(SUBSTITUTE(J$51,"M",""))-IF($F40="",0,$F40))*IF($C40=0,0,$E40/$C40),0)</f>
        <v>3625.99</v>
      </c>
      <c r="K89" s="109">
        <f t="array" ref="K89">IF(AND(VALUE(SUBSTITUTE(K$51,"M",""))-IF($F40="",0,$F40)&gt;=1,VALUE(SUBSTITUTE(K$51,"M",""))-IF($F40="",0,$F40)&lt;=18),INDEX('MVP &amp; lab hardware BOM'!$D$68:$U$68,1,VALUE(SUBSTITUTE(K$51,"M",""))-IF($F40="",0,$F40))*IF($C40=0,0,$E40/$C40),0)</f>
        <v>1000.99</v>
      </c>
      <c r="L89" s="109">
        <f t="array" ref="L89">IF(AND(VALUE(SUBSTITUTE(L$51,"M",""))-IF($F40="",0,$F40)&gt;=1,VALUE(SUBSTITUTE(L$51,"M",""))-IF($F40="",0,$F40)&lt;=18),INDEX('MVP &amp; lab hardware BOM'!$D$68:$U$68,1,VALUE(SUBSTITUTE(L$51,"M",""))-IF($F40="",0,$F40))*IF($C40=0,0,$E40/$C40),0)</f>
        <v>1106.26</v>
      </c>
      <c r="M89" s="109">
        <f t="array" ref="M89">IF(AND(VALUE(SUBSTITUTE(M$51,"M",""))-IF($F40="",0,$F40)&gt;=1,VALUE(SUBSTITUTE(M$51,"M",""))-IF($F40="",0,$F40)&lt;=18),INDEX('MVP &amp; lab hardware BOM'!$D$68:$U$68,1,VALUE(SUBSTITUTE(M$51,"M",""))-IF($F40="",0,$F40))*IF($C40=0,0,$E40/$C40),0)</f>
        <v>3731.26</v>
      </c>
      <c r="N89" s="109">
        <f t="array" ref="N89">IF(AND(VALUE(SUBSTITUTE(N$51,"M",""))-IF($F40="",0,$F40)&gt;=1,VALUE(SUBSTITUTE(N$51,"M",""))-IF($F40="",0,$F40)&lt;=18),INDEX('MVP &amp; lab hardware BOM'!$D$68:$U$68,1,VALUE(SUBSTITUTE(N$51,"M",""))-IF($F40="",0,$F40))*IF($C40=0,0,$E40/$C40),0)</f>
        <v>1185.73</v>
      </c>
      <c r="O89" s="109">
        <f t="array" ref="O89">IF(AND(VALUE(SUBSTITUTE(O$51,"M",""))-IF($F40="",0,$F40)&gt;=1,VALUE(SUBSTITUTE(O$51,"M",""))-IF($F40="",0,$F40)&lt;=18),INDEX('MVP &amp; lab hardware BOM'!$D$68:$U$68,1,VALUE(SUBSTITUTE(O$51,"M",""))-IF($F40="",0,$F40))*IF($C40=0,0,$E40/$C40),0)</f>
        <v>1198.62</v>
      </c>
      <c r="P89" s="109">
        <f t="array" ref="P89">IF(AND(VALUE(SUBSTITUTE(P$51,"M",""))-IF($F40="",0,$F40)&gt;=1,VALUE(SUBSTITUTE(P$51,"M",""))-IF($F40="",0,$F40)&lt;=18),INDEX('MVP &amp; lab hardware BOM'!$D$68:$U$68,1,VALUE(SUBSTITUTE(P$51,"M",""))-IF($F40="",0,$F40))*IF($C40=0,0,$E40/$C40),0)</f>
        <v>3884.38</v>
      </c>
      <c r="Q89" s="109">
        <f t="array" ref="Q89">IF(AND(VALUE(SUBSTITUTE(Q$51,"M",""))-IF($F40="",0,$F40)&gt;=1,VALUE(SUBSTITUTE(Q$51,"M",""))-IF($F40="",0,$F40)&lt;=18),INDEX('MVP &amp; lab hardware BOM'!$D$68:$U$68,1,VALUE(SUBSTITUTE(Q$51,"M",""))-IF($F40="",0,$F40))*IF($C40=0,0,$E40/$C40),0)</f>
        <v>1259.38</v>
      </c>
      <c r="R89" s="109">
        <f t="array" ref="R89">IF(AND(VALUE(SUBSTITUTE(R$51,"M",""))-IF($F40="",0,$F40)&gt;=1,VALUE(SUBSTITUTE(R$51,"M",""))-IF($F40="",0,$F40)&lt;=18),INDEX('MVP &amp; lab hardware BOM'!$D$68:$U$68,1,VALUE(SUBSTITUTE(R$51,"M",""))-IF($F40="",0,$F40))*IF($C40=0,0,$E40/$C40),0)</f>
        <v>1333.02</v>
      </c>
      <c r="S89" s="109">
        <f t="array" ref="S89">IF(AND(VALUE(SUBSTITUTE(S$51,"M",""))-IF($F40="",0,$F40)&gt;=1,VALUE(SUBSTITUTE(S$51,"M",""))-IF($F40="",0,$F40)&lt;=18),INDEX('MVP &amp; lab hardware BOM'!$D$68:$U$68,1,VALUE(SUBSTITUTE(S$51,"M",""))-IF($F40="",0,$F40))*IF($C40=0,0,$E40/$C40),0)</f>
        <v>3958.02</v>
      </c>
      <c r="T89" s="109">
        <f t="array" ref="T89">IF(AND(VALUE(SUBSTITUTE(T$51,"M",""))-IF($F40="",0,$F40)&gt;=1,VALUE(SUBSTITUTE(T$51,"M",""))-IF($F40="",0,$F40)&lt;=18),INDEX('MVP &amp; lab hardware BOM'!$D$68:$U$68,1,VALUE(SUBSTITUTE(T$51,"M",""))-IF($F40="",0,$F40))*IF($C40=0,0,$E40/$C40),0)</f>
        <v>1333.04</v>
      </c>
      <c r="U89" s="109">
        <f t="shared" si="34"/>
        <v>27000</v>
      </c>
    </row>
    <row r="90" hidden="1" outlineLevel="1">
      <c r="A90" s="1011" t="s">
        <v>870</v>
      </c>
      <c r="B90" s="109">
        <f t="shared" ref="B90:T90" si="35">SUM(B84:B89)</f>
        <v>0</v>
      </c>
      <c r="C90" s="109">
        <f t="shared" si="35"/>
        <v>37566.58</v>
      </c>
      <c r="D90" s="109">
        <f t="shared" si="35"/>
        <v>404.04</v>
      </c>
      <c r="E90" s="109">
        <f t="shared" si="35"/>
        <v>448.54</v>
      </c>
      <c r="F90" s="109">
        <f t="shared" si="35"/>
        <v>8262.17</v>
      </c>
      <c r="G90" s="109">
        <f t="shared" si="35"/>
        <v>828.45</v>
      </c>
      <c r="H90" s="109">
        <f t="shared" si="35"/>
        <v>981.57</v>
      </c>
      <c r="I90" s="109">
        <f t="shared" si="35"/>
        <v>1061.04</v>
      </c>
      <c r="J90" s="109">
        <f t="shared" si="35"/>
        <v>3820.43</v>
      </c>
      <c r="K90" s="109">
        <f t="shared" si="35"/>
        <v>1195.43</v>
      </c>
      <c r="L90" s="109">
        <f t="shared" si="35"/>
        <v>1300.7</v>
      </c>
      <c r="M90" s="109">
        <f t="shared" si="35"/>
        <v>3925.7</v>
      </c>
      <c r="N90" s="109">
        <f t="shared" si="35"/>
        <v>1670.17</v>
      </c>
      <c r="O90" s="109">
        <f t="shared" si="35"/>
        <v>7692.06</v>
      </c>
      <c r="P90" s="109">
        <f t="shared" si="35"/>
        <v>4078.82</v>
      </c>
      <c r="Q90" s="109">
        <f t="shared" si="35"/>
        <v>1453.82</v>
      </c>
      <c r="R90" s="109">
        <f t="shared" si="35"/>
        <v>1527.46</v>
      </c>
      <c r="S90" s="109">
        <f t="shared" si="35"/>
        <v>4152.46</v>
      </c>
      <c r="T90" s="109">
        <f t="shared" si="35"/>
        <v>1527.56</v>
      </c>
      <c r="U90" s="109">
        <f t="shared" si="34"/>
        <v>81897</v>
      </c>
    </row>
  </sheetData>
  <mergeCells count="15">
    <mergeCell ref="A33:U33"/>
    <mergeCell ref="A42:U42"/>
    <mergeCell ref="A44:U44"/>
    <mergeCell ref="A50:U50"/>
    <mergeCell ref="A57:U57"/>
    <mergeCell ref="A64:U64"/>
    <mergeCell ref="A76:U76"/>
    <mergeCell ref="A83:U83"/>
    <mergeCell ref="A1:U1"/>
    <mergeCell ref="A2:U2"/>
    <mergeCell ref="A3:U3"/>
    <mergeCell ref="A5:U5"/>
    <mergeCell ref="A16:U16"/>
    <mergeCell ref="A23:U23"/>
    <mergeCell ref="A31:U31"/>
  </mergeCells>
  <conditionalFormatting sqref="B14 B74:U74">
    <cfRule type="cellIs" dxfId="7" priority="1" stopIfTrue="1" operator="equal">
      <formula>"PASS"</formula>
    </cfRule>
  </conditionalFormatting>
  <conditionalFormatting sqref="B74:U74">
    <cfRule type="cellIs" dxfId="7" priority="2" stopIfTrue="1" operator="equal">
      <formula>"FUNDED"</formula>
    </cfRule>
  </conditionalFormatting>
  <conditionalFormatting sqref="B14 B74:U74">
    <cfRule type="cellIs" dxfId="8" priority="3" stopIfTrue="1" operator="equal">
      <formula>"REVIEW"</formula>
    </cfRule>
  </conditionalFormatting>
  <conditionalFormatting sqref="B74:U74">
    <cfRule type="cellIs" dxfId="8" priority="4" stopIfTrue="1" operator="equal">
      <formula>"CASH SHORTFALL"</formula>
    </cfRule>
  </conditionalFormatting>
  <conditionalFormatting sqref="B73:U73">
    <cfRule type="cellIs" dxfId="8" priority="5" stopIfTrue="1" operator="lessThan">
      <formula>0</formula>
    </cfRule>
  </conditionalFormatting>
  <dataValidations>
    <dataValidation type="list" allowBlank="1" showErrorMessage="1" sqref="D18:D20">
      <formula1>"M0,M1,M2,M3,M4,M5,M6,M7,M8,M9,M10,M11,M12,M13,M14,M15,M16,M17,M18,Not Closed"</formula1>
    </dataValidation>
    <dataValidation type="list" allowBlank="1" showErrorMessage="1" sqref="D25:D29 B46">
      <formula1>"M1,M2,M3,M4,M5,M6,M7,M8,M9,M10,M11,M12,M13,M14,M15,M16,M17,M18"</formula1>
    </dataValidation>
    <dataValidation type="decimal" allowBlank="1" showErrorMessage="1" sqref="F35:F40">
      <formula1>-12.0</formula1>
      <formula2>12.0</formula2>
    </dataValidation>
    <dataValidation type="decimal" operator="greaterThanOrEqual" allowBlank="1" showErrorMessage="1" sqref="G25:G29 D35:D40 D46:D48">
      <formula1>0.0</formula1>
    </dataValidation>
  </dataValidations>
  <drawing r:id="rId1"/>
</worksheet>
</file>